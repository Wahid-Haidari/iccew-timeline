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sooners-my.sharepoint.com/personal/diekoadebakin_ou_edu/Documents/"/>
    </mc:Choice>
  </mc:AlternateContent>
  <xr:revisionPtr revIDLastSave="0" documentId="8_{CD1FB8B2-6B89-464C-A93A-06298751FDB7}" xr6:coauthVersionLast="47" xr6:coauthVersionMax="47" xr10:uidLastSave="{00000000-0000-0000-0000-000000000000}"/>
  <bookViews>
    <workbookView xWindow="0" yWindow="620" windowWidth="28800" windowHeight="16340" firstSheet="1" activeTab="1" xr2:uid="{0FE06973-5759-4DA7-819B-EAAB590E9A32}"/>
  </bookViews>
  <sheets>
    <sheet name="Analysis" sheetId="8" r:id="rId1"/>
    <sheet name="complete 06-26" sheetId="3" r:id="rId2"/>
    <sheet name="Impact Academy" sheetId="6" r:id="rId3"/>
    <sheet name="The Mine" sheetId="7" r:id="rId4"/>
    <sheet name="26-24" sheetId="2" r:id="rId5"/>
    <sheet name="23-20" sheetId="1" r:id="rId6"/>
    <sheet name="19-16" sheetId="4" r:id="rId7"/>
    <sheet name="16-06" sheetId="5" r:id="rId8"/>
  </sheets>
  <definedNames>
    <definedName name="_xlnm._FilterDatabase" localSheetId="1" hidden="1">'complete 06-26'!$A$1:$F$1</definedName>
  </definedNames>
  <calcPr calcId="191028"/>
  <pivotCaches>
    <pivotCache cacheId="466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8" l="1" a="1"/>
  <c r="B9" i="8"/>
  <c r="B8" i="8" a="1"/>
  <c r="B8" i="8"/>
  <c r="B7" i="8" a="1"/>
  <c r="B7" i="8"/>
  <c r="B6" i="8" a="1"/>
  <c r="B6" i="8"/>
  <c r="B5" i="8" a="1"/>
  <c r="B5" i="8"/>
  <c r="B4" i="8" a="1"/>
  <c r="B4" i="8"/>
  <c r="B3" i="8" a="1"/>
  <c r="B3" i="8"/>
  <c r="B2" i="8" a="1"/>
  <c r="B2" i="8"/>
  <c r="B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tc={65D7614E-7147-43DD-9C17-FD6280188D0C}</author>
    <author>tc={6909FFCA-B004-40C3-9007-F82A55CFC3CC}</author>
  </authors>
  <commentList>
    <comment ref="C1472" authorId="0" shapeId="0" xr:uid="{65D7614E-7147-43DD-9C17-FD6280188D0C}">
      <text>
        <t>[Threaded comment]
Your version of Excel allows you to read this threaded comment; however, any edits to it will get removed if the file is opened in a newer version of Excel. Learn more: https://go.microsoft.com/fwlink/?linkid=870924
Comment:
    Found a list of interns (from an interview list- not sure it's fully correct) but can't locate any final report/final presentation doc for team breakdown</t>
      </text>
    </comment>
    <comment ref="E1472" authorId="1" shapeId="0" xr:uid="{6909FFCA-B004-40C3-9007-F82A55CFC3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Projects were: 9bBeasley Social Impact Venture Fund
TEDCSustainable Tulsa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tc={CE0193AA-204A-45DC-909D-0E73DE74F6BD}</author>
    <author>tc={ED5D0613-2F03-4309-9BB3-2B89B5A9227C}</author>
  </authors>
  <commentList>
    <comment ref="C24" authorId="0" shapeId="0" xr:uid="{CE0193AA-204A-45DC-909D-0E73DE74F6BD}">
      <text>
        <t>[Threaded comment]
Your version of Excel allows you to read this threaded comment; however, any edits to it will get removed if the file is opened in a newer version of Excel. Learn more: https://go.microsoft.com/fwlink/?linkid=870924
Comment:
    Found a list of interns (from an interview list- not sure it's fully correct) but can't locate any final report/final presentation doc for team breakdown</t>
      </text>
    </comment>
    <comment ref="E24" authorId="1" shapeId="0" xr:uid="{ED5D0613-2F03-4309-9BB3-2B89B5A922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Projects were: 9bBeasley Social Impact Venture Fund
TEDCSustainable Tulsa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<sst xmlns="http://schemas.openxmlformats.org/spreadsheetml/2006/main" count="18753" uniqueCount="1517">
  <si>
    <t>Unique Members</t>
  </si>
  <si>
    <t>Unique Interns</t>
  </si>
  <si>
    <t>Unique Team Leads</t>
  </si>
  <si>
    <t>Unique Staff</t>
  </si>
  <si>
    <t>Unique Norman Members</t>
  </si>
  <si>
    <t>Unique OKC Members</t>
  </si>
  <si>
    <t>Unique Tulsa Members</t>
  </si>
  <si>
    <t>Unique Impact Academy Members</t>
  </si>
  <si>
    <t>Unique Mine Participants</t>
  </si>
  <si>
    <t>Team</t>
  </si>
  <si>
    <t>Agile Product Design</t>
  </si>
  <si>
    <t>Cohort</t>
  </si>
  <si>
    <t>Full Name</t>
  </si>
  <si>
    <t>2016 Fall</t>
  </si>
  <si>
    <t>Courtney Duckett</t>
  </si>
  <si>
    <t>Joan Kirungi</t>
  </si>
  <si>
    <t>Mario Perez</t>
  </si>
  <si>
    <t>Matthew Allan</t>
  </si>
  <si>
    <t>Stephanie Prado</t>
  </si>
  <si>
    <t>Stephanie Vo</t>
  </si>
  <si>
    <t>2016 Fall Total</t>
  </si>
  <si>
    <t>2016 Spring</t>
  </si>
  <si>
    <t>David Doshier</t>
  </si>
  <si>
    <t>Evan White</t>
  </si>
  <si>
    <t>Mckenna Bear</t>
  </si>
  <si>
    <t>Tonci Maleta</t>
  </si>
  <si>
    <t>Trenton Hamm</t>
  </si>
  <si>
    <t>2016 Spring Total</t>
  </si>
  <si>
    <t>2017 Fall</t>
  </si>
  <si>
    <t>Douglas Yancy</t>
  </si>
  <si>
    <t>Grace Le</t>
  </si>
  <si>
    <t>Lindsey Cox</t>
  </si>
  <si>
    <t>Matt Allan</t>
  </si>
  <si>
    <t>Qianny Lu</t>
  </si>
  <si>
    <t>Shepherd Matsongoni</t>
  </si>
  <si>
    <t>2017 Fall Total</t>
  </si>
  <si>
    <t>2017 Spring</t>
  </si>
  <si>
    <t>Joseph Dal Santo</t>
  </si>
  <si>
    <t>Miles Burnett</t>
  </si>
  <si>
    <t>Trenton Turner</t>
  </si>
  <si>
    <t>Zach Schuermann</t>
  </si>
  <si>
    <t>2017 Spring Total</t>
  </si>
  <si>
    <t>2018 Fall</t>
  </si>
  <si>
    <t>Alex Hayes</t>
  </si>
  <si>
    <t>Ben Cooper</t>
  </si>
  <si>
    <t>Emily Sharp</t>
  </si>
  <si>
    <t>Moises Martinez</t>
  </si>
  <si>
    <t>Ope Odejimi</t>
  </si>
  <si>
    <t>2018 Fall Total</t>
  </si>
  <si>
    <t>2018 Spring</t>
  </si>
  <si>
    <t>Abigail Baukus</t>
  </si>
  <si>
    <t>Musa Sukati</t>
  </si>
  <si>
    <t>Orhan Roksa</t>
  </si>
  <si>
    <t>Steffani Silva</t>
  </si>
  <si>
    <t>2018 Spring Total</t>
  </si>
  <si>
    <t>2019 Fall</t>
  </si>
  <si>
    <t>Alyssa Campbell</t>
  </si>
  <si>
    <t>Asmita Baruah</t>
  </si>
  <si>
    <t>Ermin Kervic</t>
  </si>
  <si>
    <t>Michael Asanta</t>
  </si>
  <si>
    <t>Miguel Payan</t>
  </si>
  <si>
    <t>Wendy Han</t>
  </si>
  <si>
    <t>2019 Fall Total</t>
  </si>
  <si>
    <t>2019 Spring</t>
  </si>
  <si>
    <t>Alex Zhang</t>
  </si>
  <si>
    <t>Gary Sefah</t>
  </si>
  <si>
    <t>Zachary Coronado</t>
  </si>
  <si>
    <t>2019 Spring Total</t>
  </si>
  <si>
    <t>2020 Fall</t>
  </si>
  <si>
    <t>Cassandra Rigsby</t>
  </si>
  <si>
    <t>Dan Nyagol</t>
  </si>
  <si>
    <t>Javier Alejandra Chaves</t>
  </si>
  <si>
    <t>Lindsey Randall</t>
  </si>
  <si>
    <t>Theresa Nguyen</t>
  </si>
  <si>
    <t>Veli Shabangu</t>
  </si>
  <si>
    <t>2020 Fall Total</t>
  </si>
  <si>
    <t>2020 Spring</t>
  </si>
  <si>
    <t>Azmayn Inkishaf</t>
  </si>
  <si>
    <t>Mohammad Alwadhanee</t>
  </si>
  <si>
    <t>Sifiso Ginindza</t>
  </si>
  <si>
    <t>2020 Spring Total</t>
  </si>
  <si>
    <t>2021 Fall</t>
  </si>
  <si>
    <t>Edita Pipic</t>
  </si>
  <si>
    <t>Jessica Winkler</t>
  </si>
  <si>
    <t>Michael Williams</t>
  </si>
  <si>
    <t>Patric Oketcho</t>
  </si>
  <si>
    <t>Preetha Thanu</t>
  </si>
  <si>
    <t>Vivek Patel</t>
  </si>
  <si>
    <t>2021 Fall Total</t>
  </si>
  <si>
    <t>2021 Spring</t>
  </si>
  <si>
    <t>Merima Hasic</t>
  </si>
  <si>
    <t>Preetha Thanunathan</t>
  </si>
  <si>
    <t>Seaphi Molise</t>
  </si>
  <si>
    <t>Seth Long</t>
  </si>
  <si>
    <t>2021 Spring Total</t>
  </si>
  <si>
    <t>2022 Fall</t>
  </si>
  <si>
    <t>Andrew L. Brown</t>
  </si>
  <si>
    <t>Fabio Santini Bianco</t>
  </si>
  <si>
    <t>Peter K. S. Amprako</t>
  </si>
  <si>
    <t>Peyton Nealis</t>
  </si>
  <si>
    <t>Vinh D. Nguyen</t>
  </si>
  <si>
    <t>2022 Fall Total</t>
  </si>
  <si>
    <t>2022 Spring</t>
  </si>
  <si>
    <t>Casey Seale</t>
  </si>
  <si>
    <t>Prince Oburoni-Ayeh</t>
  </si>
  <si>
    <t>2022 Spring Total</t>
  </si>
  <si>
    <t>2023 Fall</t>
  </si>
  <si>
    <t>Adesh Bhor</t>
  </si>
  <si>
    <t>Bonkhe Magongo</t>
  </si>
  <si>
    <t>Celine Polepole</t>
  </si>
  <si>
    <t>Kamso Nwafor</t>
  </si>
  <si>
    <t>Luke Jung</t>
  </si>
  <si>
    <t>Peter Amprako</t>
  </si>
  <si>
    <t>2023 Fall Total</t>
  </si>
  <si>
    <t>2024 Fall</t>
  </si>
  <si>
    <t>Baylor Savage</t>
  </si>
  <si>
    <t>Jason Meshili</t>
  </si>
  <si>
    <t>Marjan Maro Zovko</t>
  </si>
  <si>
    <t>Nicolas Cordova Velasco</t>
  </si>
  <si>
    <t>2024 Fall Total</t>
  </si>
  <si>
    <t>2024 Spring</t>
  </si>
  <si>
    <t>Nifemi Bonou</t>
  </si>
  <si>
    <t>Vera Muco</t>
  </si>
  <si>
    <t>Yvette Ingabire</t>
  </si>
  <si>
    <t>2024 Spring Total</t>
  </si>
  <si>
    <t>2025 Fall</t>
  </si>
  <si>
    <t>Dayln Nguyen</t>
  </si>
  <si>
    <t>Deepak Jha</t>
  </si>
  <si>
    <t>Lily Mosisa</t>
  </si>
  <si>
    <t>Maryam Amin</t>
  </si>
  <si>
    <t>Thao Tran</t>
  </si>
  <si>
    <t>Zaid Jasasra</t>
  </si>
  <si>
    <t>2025 Fall Total</t>
  </si>
  <si>
    <t>2025 Spring</t>
  </si>
  <si>
    <t>Anitah Namutebi</t>
  </si>
  <si>
    <t>Hilbi Nadeem Akbar</t>
  </si>
  <si>
    <t>Modeste Gihozo Rukundo</t>
  </si>
  <si>
    <t>2025 Spring Total</t>
  </si>
  <si>
    <t>Role</t>
  </si>
  <si>
    <t>Project</t>
  </si>
  <si>
    <t>Location</t>
  </si>
  <si>
    <t>2006 Fall</t>
  </si>
  <si>
    <t>Team 1</t>
  </si>
  <si>
    <t>Jaclyn Stelzer</t>
  </si>
  <si>
    <t>Intern</t>
  </si>
  <si>
    <t>Norman</t>
  </si>
  <si>
    <t>Marjorie Guy</t>
  </si>
  <si>
    <t>Blake Mcguire</t>
  </si>
  <si>
    <t>Rob Kish</t>
  </si>
  <si>
    <t>Team 2</t>
  </si>
  <si>
    <t>Ben Stewart</t>
  </si>
  <si>
    <t>Ryan Smith</t>
  </si>
  <si>
    <t>Mariana Barrientos</t>
  </si>
  <si>
    <t>Team 3</t>
  </si>
  <si>
    <t>Lindsey Waddell</t>
  </si>
  <si>
    <t>Joseph Wohleber</t>
  </si>
  <si>
    <t>Sasha Down</t>
  </si>
  <si>
    <t>Andy Hill</t>
  </si>
  <si>
    <t>Staff</t>
  </si>
  <si>
    <t>Daniel Pullin</t>
  </si>
  <si>
    <t>Executive Director</t>
  </si>
  <si>
    <t>Caroline Cochran</t>
  </si>
  <si>
    <t>Program Manager</t>
  </si>
  <si>
    <t>2007 Spring</t>
  </si>
  <si>
    <t>Team Lead</t>
  </si>
  <si>
    <t>Tyler Mosmeyer</t>
  </si>
  <si>
    <t>Eddie Coates</t>
  </si>
  <si>
    <t>Jean Carlos Lopez</t>
  </si>
  <si>
    <t>Jay Doyle</t>
  </si>
  <si>
    <t>Brendan Quick</t>
  </si>
  <si>
    <t>Lindyn Kish</t>
  </si>
  <si>
    <t>Brian Van Schoyck</t>
  </si>
  <si>
    <t>Justin Briggs</t>
  </si>
  <si>
    <t>Charles Bright</t>
  </si>
  <si>
    <t>Valerie Myers</t>
  </si>
  <si>
    <t>Bobby Lepak</t>
  </si>
  <si>
    <t>2007 Fall</t>
  </si>
  <si>
    <t>Blaine Pinard</t>
  </si>
  <si>
    <t>Chas Gilmore</t>
  </si>
  <si>
    <t>Tyler Ledlow</t>
  </si>
  <si>
    <t>Amanda Rutherford</t>
  </si>
  <si>
    <t>Travis Webb</t>
  </si>
  <si>
    <t>Felipe Armaza</t>
  </si>
  <si>
    <t>Lauren Haller</t>
  </si>
  <si>
    <t>Killian Naylor</t>
  </si>
  <si>
    <t>Robbie Miller</t>
  </si>
  <si>
    <t>John Woodson</t>
  </si>
  <si>
    <t>William Cunningham</t>
  </si>
  <si>
    <t>Derek Perkins</t>
  </si>
  <si>
    <t>Kim Saylor</t>
  </si>
  <si>
    <t>Chris Shilling</t>
  </si>
  <si>
    <t>2008 Spring</t>
  </si>
  <si>
    <t>Tyler Bolton</t>
  </si>
  <si>
    <t>Laleh Chafi</t>
  </si>
  <si>
    <t>Michael Linville</t>
  </si>
  <si>
    <t>Steven Watts</t>
  </si>
  <si>
    <t>Sam Galoob</t>
  </si>
  <si>
    <t>Amber Edwards</t>
  </si>
  <si>
    <t>Julie Fugate</t>
  </si>
  <si>
    <t>Adam Croom</t>
  </si>
  <si>
    <t>Matt Brown</t>
  </si>
  <si>
    <t>Kristin Barnett</t>
  </si>
  <si>
    <t>Michael Harrison</t>
  </si>
  <si>
    <t>Robert Hefner</t>
  </si>
  <si>
    <t>Michael Sarchet</t>
  </si>
  <si>
    <t>2008 Fall</t>
  </si>
  <si>
    <t>Tracy Cline</t>
  </si>
  <si>
    <t>Matt Colwell</t>
  </si>
  <si>
    <t>Stafford Marquardt</t>
  </si>
  <si>
    <t>Barron Ryan</t>
  </si>
  <si>
    <t>Juan Diego Alonso</t>
  </si>
  <si>
    <t>Ben Ikard</t>
  </si>
  <si>
    <t>Jennifer Johnson</t>
  </si>
  <si>
    <t>David Luu</t>
  </si>
  <si>
    <t>Kris Vermelis</t>
  </si>
  <si>
    <t>Jared Weingartner</t>
  </si>
  <si>
    <t>Ginger Wells</t>
  </si>
  <si>
    <t>Fellow</t>
  </si>
  <si>
    <t>Mariana Barrientos Ossio</t>
  </si>
  <si>
    <t>Director of Programs</t>
  </si>
  <si>
    <t>2009 Spring</t>
  </si>
  <si>
    <t>Lindsay Smith</t>
  </si>
  <si>
    <t>Austin Spires</t>
  </si>
  <si>
    <t>Blake Trippet</t>
  </si>
  <si>
    <t>Han Wang</t>
  </si>
  <si>
    <t>Derek Case</t>
  </si>
  <si>
    <t>Hamid Pezeshkian</t>
  </si>
  <si>
    <t>John Rodgers</t>
  </si>
  <si>
    <t>Brittany Ryan</t>
  </si>
  <si>
    <t>Oluwatobi Aborisade</t>
  </si>
  <si>
    <t>John Gawey</t>
  </si>
  <si>
    <t>Jessica Haffener</t>
  </si>
  <si>
    <t>Samantha Ali</t>
  </si>
  <si>
    <t>2009 Fall</t>
  </si>
  <si>
    <t>Austin Slaymaker</t>
  </si>
  <si>
    <t>Lucas Rice</t>
  </si>
  <si>
    <t>Yunfei Li</t>
  </si>
  <si>
    <t>Taylor Potter</t>
  </si>
  <si>
    <t>TJ Moen</t>
  </si>
  <si>
    <t>Ben West</t>
  </si>
  <si>
    <t>Tobi Olusola</t>
  </si>
  <si>
    <t>Vinh Pham</t>
  </si>
  <si>
    <t>Holly Sturdivan</t>
  </si>
  <si>
    <t>2010 Spring</t>
  </si>
  <si>
    <t>Scott Lowe</t>
  </si>
  <si>
    <t>Mimi Nguyen</t>
  </si>
  <si>
    <t>John Reid</t>
  </si>
  <si>
    <t>Ryan O’Meilia</t>
  </si>
  <si>
    <t>Chase Roberts</t>
  </si>
  <si>
    <t>Rouzhou Liao</t>
  </si>
  <si>
    <t>Madison Limbacher</t>
  </si>
  <si>
    <t>Andrew Morris</t>
  </si>
  <si>
    <t>Dana Mohammad-Z.</t>
  </si>
  <si>
    <t>Julie Nguyen</t>
  </si>
  <si>
    <t>William Prueitt</t>
  </si>
  <si>
    <t>Amy Goad</t>
  </si>
  <si>
    <t>Jeffrey Stewart</t>
  </si>
  <si>
    <t>Jeff Moore</t>
  </si>
  <si>
    <t>2010 Fall</t>
  </si>
  <si>
    <t>Patrick Luong</t>
  </si>
  <si>
    <t>Samantha Toth</t>
  </si>
  <si>
    <t>Barry Conrad</t>
  </si>
  <si>
    <t>Jay Kumar</t>
  </si>
  <si>
    <t>Jack Randolph</t>
  </si>
  <si>
    <t>Daniel Bailey</t>
  </si>
  <si>
    <t>Virginia Duke</t>
  </si>
  <si>
    <t>Greg Gustafson</t>
  </si>
  <si>
    <t>Frank Lezu</t>
  </si>
  <si>
    <t>Sean Miller</t>
  </si>
  <si>
    <t>Megan Gessouroun</t>
  </si>
  <si>
    <t>Bryce Stubblefield</t>
  </si>
  <si>
    <t>Christiaan Bester</t>
  </si>
  <si>
    <t>Ashley Zumwalt</t>
  </si>
  <si>
    <t>Cole Roberts</t>
  </si>
  <si>
    <t>Ali Khalili</t>
  </si>
  <si>
    <t>Stafford M</t>
  </si>
  <si>
    <t>2011 Spring</t>
  </si>
  <si>
    <t>Dawit Dagnaw</t>
  </si>
  <si>
    <t>Anoopdeep Bal</t>
  </si>
  <si>
    <t>Oliver Li</t>
  </si>
  <si>
    <t>Erin Summersgill</t>
  </si>
  <si>
    <t>Sam Clancy</t>
  </si>
  <si>
    <t>Reneé Selanders</t>
  </si>
  <si>
    <t>Kelsey Johnson</t>
  </si>
  <si>
    <t>David Rice</t>
  </si>
  <si>
    <t>Allen Smith</t>
  </si>
  <si>
    <t>Yemi Harris</t>
  </si>
  <si>
    <t>Kelly Tran</t>
  </si>
  <si>
    <t>Rachel O’Connor</t>
  </si>
  <si>
    <t>Brett Bone</t>
  </si>
  <si>
    <t>Blake Burget</t>
  </si>
  <si>
    <t>Alexandra Valiton</t>
  </si>
  <si>
    <t>Valerie Myers-Christianson</t>
  </si>
  <si>
    <t>2011 Fall</t>
  </si>
  <si>
    <t>Jerod Coker</t>
  </si>
  <si>
    <t>Chloe Doiron</t>
  </si>
  <si>
    <t>Carson Rock</t>
  </si>
  <si>
    <t>Samantha Wong</t>
  </si>
  <si>
    <t>Caitlin Cadieux</t>
  </si>
  <si>
    <t>Evan Defillipis</t>
  </si>
  <si>
    <t>Calvin Nelms</t>
  </si>
  <si>
    <t>Josh Holmes</t>
  </si>
  <si>
    <t>Susana Rodriguez</t>
  </si>
  <si>
    <t>Dhara Sheth</t>
  </si>
  <si>
    <t>Kris Smith</t>
  </si>
  <si>
    <t>Mary Hestilow</t>
  </si>
  <si>
    <t>Robert Free</t>
  </si>
  <si>
    <t>Niki Bray</t>
  </si>
  <si>
    <t>Zach Mason</t>
  </si>
  <si>
    <t>Evan Fry</t>
  </si>
  <si>
    <t>Andi Atkin</t>
  </si>
  <si>
    <t>Team 4</t>
  </si>
  <si>
    <t>Rick O’hara</t>
  </si>
  <si>
    <t>Jakob Griffith</t>
  </si>
  <si>
    <t>Nicholas Kovash</t>
  </si>
  <si>
    <t>Andrew Nguyen</t>
  </si>
  <si>
    <t>Adam Ghodratnama</t>
  </si>
  <si>
    <t>Taras Basiuk</t>
  </si>
  <si>
    <t>2012 Spring</t>
  </si>
  <si>
    <t>Sarah Yung</t>
  </si>
  <si>
    <t>Benjamin Hill</t>
  </si>
  <si>
    <t>Jeffrey Moseley</t>
  </si>
  <si>
    <t>Jill Postic</t>
  </si>
  <si>
    <t>Michael Wilkinson</t>
  </si>
  <si>
    <t>Drew Cameron</t>
  </si>
  <si>
    <t>Cale Curtin</t>
  </si>
  <si>
    <t>Linzi Jiang</t>
  </si>
  <si>
    <t>Renoj Varghese</t>
  </si>
  <si>
    <t>Richard Lu</t>
  </si>
  <si>
    <t>Elizabeth Reynolds</t>
  </si>
  <si>
    <t>Qing Zhao</t>
  </si>
  <si>
    <t>Caroline Trump</t>
  </si>
  <si>
    <t>Jared Rader</t>
  </si>
  <si>
    <t>*Same address as Renee Selanders</t>
  </si>
  <si>
    <t>Ravi Teja Bellam</t>
  </si>
  <si>
    <t>Nha Hoang</t>
  </si>
  <si>
    <t>Tyler Nguyen</t>
  </si>
  <si>
    <t>Tulsa</t>
  </si>
  <si>
    <t>Christella Chavez</t>
  </si>
  <si>
    <t>Sarah Gray</t>
  </si>
  <si>
    <t>Heather Vaughn</t>
  </si>
  <si>
    <t>2012 Fall</t>
  </si>
  <si>
    <t>Julie Bock</t>
  </si>
  <si>
    <t>Allie Kallmann</t>
  </si>
  <si>
    <t>Sam Parrill</t>
  </si>
  <si>
    <t>Andrew Belliveau</t>
  </si>
  <si>
    <t>Muralikrishna Dulla</t>
  </si>
  <si>
    <t>Mahesh Kagitha</t>
  </si>
  <si>
    <t>Joel Maupin</t>
  </si>
  <si>
    <t>Parker Dooly</t>
  </si>
  <si>
    <t>Susan Moring</t>
  </si>
  <si>
    <t>Zach McWilliams</t>
  </si>
  <si>
    <t>Chris Larberg</t>
  </si>
  <si>
    <t>Tiffany Haendel</t>
  </si>
  <si>
    <t>Mubeen Shakir</t>
  </si>
  <si>
    <t>Jeff Rhea</t>
  </si>
  <si>
    <t>Charlotte Lunday</t>
  </si>
  <si>
    <t>Dan Phillips</t>
  </si>
  <si>
    <t>Rebecca Stevenson</t>
  </si>
  <si>
    <t>Tyler Pearson</t>
  </si>
  <si>
    <t>Heather Odle</t>
  </si>
  <si>
    <t>Bhagyashri Darunkar</t>
  </si>
  <si>
    <t>Aniruddha Agharkar</t>
  </si>
  <si>
    <t>Kris Iyer</t>
  </si>
  <si>
    <t>2013 Spring</t>
  </si>
  <si>
    <t>Byron Dale</t>
  </si>
  <si>
    <t>Dillon Carroll</t>
  </si>
  <si>
    <t>Ali Browning</t>
  </si>
  <si>
    <t>Carl Szmutko</t>
  </si>
  <si>
    <t>Ryan Phillips</t>
  </si>
  <si>
    <t>Eleanor Burg</t>
  </si>
  <si>
    <t>J.C. Fischer</t>
  </si>
  <si>
    <t>Zachary Burgess</t>
  </si>
  <si>
    <t>Austin Kipp</t>
  </si>
  <si>
    <t>Ali Hajimirza</t>
  </si>
  <si>
    <t>Alyssa Boutelle</t>
  </si>
  <si>
    <t>Siddhartha V.</t>
  </si>
  <si>
    <t>Kevin Hadley</t>
  </si>
  <si>
    <t>Jamie Huber</t>
  </si>
  <si>
    <t>Alex Reisner</t>
  </si>
  <si>
    <t>Sarah Shapiro</t>
  </si>
  <si>
    <t>Nikhita Guntar</t>
  </si>
  <si>
    <t>Lauren McKinney</t>
  </si>
  <si>
    <t>Vishal Gadiya</t>
  </si>
  <si>
    <t>OFA</t>
  </si>
  <si>
    <t>Madeleine Ratcliffe</t>
  </si>
  <si>
    <t>Tim Johnson</t>
  </si>
  <si>
    <t>2013 Fall</t>
  </si>
  <si>
    <t>Nick Aguilera</t>
  </si>
  <si>
    <t>Alex Eggleston</t>
  </si>
  <si>
    <t>Sam Stringer</t>
  </si>
  <si>
    <t>Daniel Meschter</t>
  </si>
  <si>
    <t>Melissa Dang</t>
  </si>
  <si>
    <t>Kirke Suter</t>
  </si>
  <si>
    <t>Adam Avoian</t>
  </si>
  <si>
    <t>Hannah Kellogg</t>
  </si>
  <si>
    <t>Lingzhou Lu</t>
  </si>
  <si>
    <t>Nick Ortiz</t>
  </si>
  <si>
    <t>Nikhil Mutalik</t>
  </si>
  <si>
    <t>Andrew Tierney</t>
  </si>
  <si>
    <t>Lauren Gilbert</t>
  </si>
  <si>
    <t>Robert Byrd</t>
  </si>
  <si>
    <t>Kristin Messerli</t>
  </si>
  <si>
    <t>Lauren Wells</t>
  </si>
  <si>
    <t>Adenike Adewolu</t>
  </si>
  <si>
    <t>Julius Shen</t>
  </si>
  <si>
    <t>Stephen Allred</t>
  </si>
  <si>
    <t>Lauren Abston</t>
  </si>
  <si>
    <t>Sue Ringus</t>
  </si>
  <si>
    <t>Director</t>
  </si>
  <si>
    <t>2014 Spring</t>
  </si>
  <si>
    <t>Jeremy Littel</t>
  </si>
  <si>
    <t>Meghan Saunders</t>
  </si>
  <si>
    <t>William Lonn</t>
  </si>
  <si>
    <t>Nathan Robertson</t>
  </si>
  <si>
    <t>Egawati Panjet</t>
  </si>
  <si>
    <t>Jillian Taylor</t>
  </si>
  <si>
    <t>Jeffrey Terry</t>
  </si>
  <si>
    <t>Luke Tucker</t>
  </si>
  <si>
    <t>Shelby Vanhooser</t>
  </si>
  <si>
    <t>Nick Sparks</t>
  </si>
  <si>
    <t>Matthew Stangl</t>
  </si>
  <si>
    <t>Jeff Bissinger</t>
  </si>
  <si>
    <t>David Driskill</t>
  </si>
  <si>
    <t>Lucy Mahaffey</t>
  </si>
  <si>
    <t>Devon Triebold</t>
  </si>
  <si>
    <t>Andrew Stewart</t>
  </si>
  <si>
    <t>Ethan van Meter</t>
  </si>
  <si>
    <t>Michael Petri</t>
  </si>
  <si>
    <t>Bryce Hermsen</t>
  </si>
  <si>
    <t>Cole Jackson</t>
  </si>
  <si>
    <t>Tahira Taqi</t>
  </si>
  <si>
    <t>John Warden</t>
  </si>
  <si>
    <t>Allie Grantham</t>
  </si>
  <si>
    <t>Wagnon Rhonda</t>
  </si>
  <si>
    <t>Sivakumar Sai</t>
  </si>
  <si>
    <t>Carissa Curtis</t>
  </si>
  <si>
    <t>Melissa Kunz</t>
  </si>
  <si>
    <t>Prasad Kuppurangan</t>
  </si>
  <si>
    <t>Stephen Elias</t>
  </si>
  <si>
    <t>Frank Frantz</t>
  </si>
  <si>
    <t>Rita Rush</t>
  </si>
  <si>
    <t>2014 Fall</t>
  </si>
  <si>
    <t>Mckenna Beard</t>
  </si>
  <si>
    <t>Julia Wynn</t>
  </si>
  <si>
    <t>Allen Yen</t>
  </si>
  <si>
    <t>Jake DiNucci</t>
  </si>
  <si>
    <t>Catherine Thomas</t>
  </si>
  <si>
    <t>Samuel Chinchilla</t>
  </si>
  <si>
    <t>Rui Zhang</t>
  </si>
  <si>
    <t>Megan Nash</t>
  </si>
  <si>
    <t>Joseph Asante</t>
  </si>
  <si>
    <t>Landon Dare</t>
  </si>
  <si>
    <t>Ana Mohammad-Zadeh</t>
  </si>
  <si>
    <t>Bradley Hulme</t>
  </si>
  <si>
    <t>Kiersten Strachan</t>
  </si>
  <si>
    <t>Adam Brobson</t>
  </si>
  <si>
    <t>Jane Hsi</t>
  </si>
  <si>
    <t>Daniel Cartwright</t>
  </si>
  <si>
    <t>Katie Vanchiere</t>
  </si>
  <si>
    <t>Meghan Gallagher</t>
  </si>
  <si>
    <t>Team 5</t>
  </si>
  <si>
    <t>Derrick Jones</t>
  </si>
  <si>
    <t>Patrick Stevens</t>
  </si>
  <si>
    <t>Rannyu Ngoran</t>
  </si>
  <si>
    <t>Jon Schick</t>
  </si>
  <si>
    <t>Lexi Brackett</t>
  </si>
  <si>
    <t>Kyle Smith</t>
  </si>
  <si>
    <t>Nyika Wilmore</t>
  </si>
  <si>
    <t>Chelsea McCay</t>
  </si>
  <si>
    <t>Shweta Bhosale</t>
  </si>
  <si>
    <t>Jayme  Hunt</t>
  </si>
  <si>
    <t>Mackenzie Shipp</t>
  </si>
  <si>
    <t>Director of Tulsa</t>
  </si>
  <si>
    <t>2015 Spring</t>
  </si>
  <si>
    <t>Aric Kampschaefer</t>
  </si>
  <si>
    <t>Krishna Manohar</t>
  </si>
  <si>
    <t>Matt Woods</t>
  </si>
  <si>
    <t>Arlette Rojano</t>
  </si>
  <si>
    <t>Kevin Dunham</t>
  </si>
  <si>
    <t>Jared Bond</t>
  </si>
  <si>
    <t>Kevin Reimnitz</t>
  </si>
  <si>
    <t>Cody Crow</t>
  </si>
  <si>
    <t>Jeremy Allen</t>
  </si>
  <si>
    <t>Benjamin Acker</t>
  </si>
  <si>
    <t>Brittany Ribble</t>
  </si>
  <si>
    <t>Lena Erickson</t>
  </si>
  <si>
    <t>Mariah Butler</t>
  </si>
  <si>
    <t>Nick Estes</t>
  </si>
  <si>
    <t>Cici Zhou</t>
  </si>
  <si>
    <t>Cooper Lund</t>
  </si>
  <si>
    <t>Asheema Pruthi</t>
  </si>
  <si>
    <t>Nikita Hussain</t>
  </si>
  <si>
    <t>Anand Shankar</t>
  </si>
  <si>
    <t>Paul Abbey</t>
  </si>
  <si>
    <t>Jayme Hunt</t>
  </si>
  <si>
    <t>Matthew Warner</t>
  </si>
  <si>
    <t>Eli Weathers</t>
  </si>
  <si>
    <t>Joe Nguyen</t>
  </si>
  <si>
    <t>2015 Fall</t>
  </si>
  <si>
    <t>Brad Morrow</t>
  </si>
  <si>
    <t>Derrick Nguyen</t>
  </si>
  <si>
    <t>Drew Walther</t>
  </si>
  <si>
    <t>Joseph Daniels</t>
  </si>
  <si>
    <t>Khaled Jabr</t>
  </si>
  <si>
    <t>Stefan Johanson</t>
  </si>
  <si>
    <t>Jessica Murphree</t>
  </si>
  <si>
    <t>Brian Neldon</t>
  </si>
  <si>
    <t>Daniel Moses</t>
  </si>
  <si>
    <t>Kimberly Ughamadu</t>
  </si>
  <si>
    <t>Patrick Richardson</t>
  </si>
  <si>
    <t>Briek Pauwels</t>
  </si>
  <si>
    <t>Archaela Jordan</t>
  </si>
  <si>
    <t>Savannah Ames</t>
  </si>
  <si>
    <t>Hailey Powell</t>
  </si>
  <si>
    <t>Alexander Van Noord</t>
  </si>
  <si>
    <t>Alexandra Smith</t>
  </si>
  <si>
    <t>Jack Dastugue</t>
  </si>
  <si>
    <t>Cassie Holmes</t>
  </si>
  <si>
    <t>Alyssa Peterson</t>
  </si>
  <si>
    <t>Daniel Sperle</t>
  </si>
  <si>
    <t>Holly Crawford</t>
  </si>
  <si>
    <t>Joshua Franzen</t>
  </si>
  <si>
    <t>Bailey Wilton</t>
  </si>
  <si>
    <t>Maya Sykes</t>
  </si>
  <si>
    <t>Social Entrepreneurship</t>
  </si>
  <si>
    <t>VR</t>
  </si>
  <si>
    <t>Brett Fene</t>
  </si>
  <si>
    <t>Ben Ignac</t>
  </si>
  <si>
    <t>Lexi Jovanovic</t>
  </si>
  <si>
    <t>Chisom Ibekwe</t>
  </si>
  <si>
    <t>Blake Tinkle</t>
  </si>
  <si>
    <t>Nelisiwe Mtembu</t>
  </si>
  <si>
    <t>Brent Janss</t>
  </si>
  <si>
    <t>Christna Wu</t>
  </si>
  <si>
    <t>SoBA (Business)</t>
  </si>
  <si>
    <t>PinYing</t>
  </si>
  <si>
    <t>Robert Bellafiore</t>
  </si>
  <si>
    <t>Angela Chang</t>
  </si>
  <si>
    <t>Dalton Kern</t>
  </si>
  <si>
    <t>Q Nguyen</t>
  </si>
  <si>
    <t>Min Xiao</t>
  </si>
  <si>
    <t>SoBA (Developer)</t>
  </si>
  <si>
    <t>Bryan Capps</t>
  </si>
  <si>
    <t>Yi Guo</t>
  </si>
  <si>
    <t>Jake Manning</t>
  </si>
  <si>
    <t>Dalton Wood</t>
  </si>
  <si>
    <t>CA</t>
  </si>
  <si>
    <t>Ames Zirconium</t>
  </si>
  <si>
    <t>Amanda Ahadizadeh</t>
  </si>
  <si>
    <t>Sean Templemore-Finlayson</t>
  </si>
  <si>
    <t>Amanah Fatima</t>
  </si>
  <si>
    <t>Michael Rath</t>
  </si>
  <si>
    <t>Drone Games</t>
  </si>
  <si>
    <t>Healthcare Incubator</t>
  </si>
  <si>
    <t>Benhail Muthyala</t>
  </si>
  <si>
    <t>Annie Pham</t>
  </si>
  <si>
    <t>Ronald Smith</t>
  </si>
  <si>
    <t>Piper Wolfe</t>
  </si>
  <si>
    <t>Rebecca Butcher</t>
  </si>
  <si>
    <t>Program Manager of The Mine</t>
  </si>
  <si>
    <t>Tech Commercialization</t>
  </si>
  <si>
    <t>Pericosine Products</t>
  </si>
  <si>
    <t>Jamie Franzese</t>
  </si>
  <si>
    <t>Josh Imbriani</t>
  </si>
  <si>
    <t>Hayden Padgett</t>
  </si>
  <si>
    <t>Landon Wright</t>
  </si>
  <si>
    <t>Harrison House</t>
  </si>
  <si>
    <t>Kendon McGehee</t>
  </si>
  <si>
    <t>Carly Norwood</t>
  </si>
  <si>
    <t>EDUCATE Zimbabwe</t>
  </si>
  <si>
    <t>Maricela Avila</t>
  </si>
  <si>
    <t>Sean Christiansen</t>
  </si>
  <si>
    <t>Alexander Stubblefield</t>
  </si>
  <si>
    <t>EMMA</t>
  </si>
  <si>
    <t>Rijutha Garimella</t>
  </si>
  <si>
    <t>Andrew Moore</t>
  </si>
  <si>
    <t>Suparshva Parikh</t>
  </si>
  <si>
    <t>Sarah Whitney</t>
  </si>
  <si>
    <t>Sam Baskin</t>
  </si>
  <si>
    <t>Kevin Gaffney</t>
  </si>
  <si>
    <t>Bailey Hollingsworth</t>
  </si>
  <si>
    <t>Charlie Liu</t>
  </si>
  <si>
    <t>Team FREO</t>
  </si>
  <si>
    <t>Search Fund Strategy</t>
  </si>
  <si>
    <t>Morgan Gilsinger</t>
  </si>
  <si>
    <t>Umair Hashmi</t>
  </si>
  <si>
    <t>Jennifer Lyn</t>
  </si>
  <si>
    <t>Salome Pinto</t>
  </si>
  <si>
    <t>Hannah Ralston</t>
  </si>
  <si>
    <t>Tulsa Newcomer Services</t>
  </si>
  <si>
    <t>Mculu Dlamini</t>
  </si>
  <si>
    <t>Ivey Dyson</t>
  </si>
  <si>
    <t>Trae Havens</t>
  </si>
  <si>
    <t>Stella Huynh</t>
  </si>
  <si>
    <t>Samuel Bagaason</t>
  </si>
  <si>
    <t>Clayton Bradshaw</t>
  </si>
  <si>
    <t>Matthew Mullins</t>
  </si>
  <si>
    <t>Daniel O'Conner</t>
  </si>
  <si>
    <t>Oklo</t>
  </si>
  <si>
    <t>Alec Armer</t>
  </si>
  <si>
    <t>Grace Bouziden</t>
  </si>
  <si>
    <t>Juliana France</t>
  </si>
  <si>
    <t>Connor Moore</t>
  </si>
  <si>
    <t>Welkin</t>
  </si>
  <si>
    <t>Raw Space for Rent</t>
  </si>
  <si>
    <t>Blake Saylor</t>
  </si>
  <si>
    <t>Justin Potts</t>
  </si>
  <si>
    <t>Husayn Ramji</t>
  </si>
  <si>
    <t>EB McCready</t>
  </si>
  <si>
    <t>Nick Graham</t>
  </si>
  <si>
    <t>Dragon Tran</t>
  </si>
  <si>
    <t>Andrew Shaffer</t>
  </si>
  <si>
    <t>Valerie Pham</t>
  </si>
  <si>
    <t>Jennifer Lynn</t>
  </si>
  <si>
    <t>Tele-PTSD</t>
  </si>
  <si>
    <t>Kate Duethman</t>
  </si>
  <si>
    <t>Varun Gupta</t>
  </si>
  <si>
    <t>Vanessa Garcia</t>
  </si>
  <si>
    <t>Jonathon Weber-Mendez</t>
  </si>
  <si>
    <t>Common Cent</t>
  </si>
  <si>
    <t>Tami Alabi</t>
  </si>
  <si>
    <t>Hannah Grillot</t>
  </si>
  <si>
    <t>Haley Rader</t>
  </si>
  <si>
    <t>Mattie Witman</t>
  </si>
  <si>
    <t>Jarrett Ferguson</t>
  </si>
  <si>
    <t>Taylor Finley</t>
  </si>
  <si>
    <t>Calla Hamlin</t>
  </si>
  <si>
    <t>Timothy Sheridan</t>
  </si>
  <si>
    <t>M-D Building Products</t>
  </si>
  <si>
    <t>Lane Callaghan</t>
  </si>
  <si>
    <t>Antonella Carranco</t>
  </si>
  <si>
    <t>Daniela Cooper</t>
  </si>
  <si>
    <t>Vesela Massaro</t>
  </si>
  <si>
    <t>Qiang Pan</t>
  </si>
  <si>
    <t>Catherine Ha</t>
  </si>
  <si>
    <t>Simon Zu</t>
  </si>
  <si>
    <t>HydroVirga</t>
  </si>
  <si>
    <t>Elizabeth Greer</t>
  </si>
  <si>
    <t>Morgan Nash</t>
  </si>
  <si>
    <t>Rahma Osman</t>
  </si>
  <si>
    <t>Soham Pandya</t>
  </si>
  <si>
    <t>BKeeper</t>
  </si>
  <si>
    <t>RetEval: Diabetic Retinopathy Screening</t>
  </si>
  <si>
    <t>Shruti Bothe</t>
  </si>
  <si>
    <t>Emily Ingram</t>
  </si>
  <si>
    <t>Amanda Maxwell</t>
  </si>
  <si>
    <t>OKC</t>
  </si>
  <si>
    <t>Stephenson Cancer Center Rural Acces &amp; Outreach</t>
  </si>
  <si>
    <t>Sean Eldridge</t>
  </si>
  <si>
    <t>Benjamin Frempah</t>
  </si>
  <si>
    <t>Jimmy Manyanga</t>
  </si>
  <si>
    <t>Betsy Waller</t>
  </si>
  <si>
    <t>Director of OKC</t>
  </si>
  <si>
    <t>Director of Norman</t>
  </si>
  <si>
    <t>MetaFund</t>
  </si>
  <si>
    <t>Tyler Gatewood</t>
  </si>
  <si>
    <t>Jessice James</t>
  </si>
  <si>
    <t>Allecia Jones</t>
  </si>
  <si>
    <t>Marija Primorac</t>
  </si>
  <si>
    <t>Jordan Burdick</t>
  </si>
  <si>
    <t>Ryleigh Navert</t>
  </si>
  <si>
    <t>Collin Owen</t>
  </si>
  <si>
    <t>Samuel Quick</t>
  </si>
  <si>
    <t>Filtra Systems</t>
  </si>
  <si>
    <t>Jordan D'Silva</t>
  </si>
  <si>
    <t>Emma Greene</t>
  </si>
  <si>
    <t>Molungoa Ramataboe</t>
  </si>
  <si>
    <t>Tanner Satterthwaite</t>
  </si>
  <si>
    <t>Valeria Pham</t>
  </si>
  <si>
    <t>Cody Degner</t>
  </si>
  <si>
    <t>Michael Fedell</t>
  </si>
  <si>
    <t>Wenhua Wang</t>
  </si>
  <si>
    <t>Lihua Zhao</t>
  </si>
  <si>
    <t>Sea Drones</t>
  </si>
  <si>
    <t>Christopher Carter</t>
  </si>
  <si>
    <t>Christina Nguyen</t>
  </si>
  <si>
    <t>Jack Sparks</t>
  </si>
  <si>
    <t>Eunhee Tark</t>
  </si>
  <si>
    <t>Oil and Gas</t>
  </si>
  <si>
    <t>RKI Energy</t>
  </si>
  <si>
    <t>Saurabh Agarwal</t>
  </si>
  <si>
    <t>Sheila Gerardo</t>
  </si>
  <si>
    <t>Jackson Spencer</t>
  </si>
  <si>
    <t>D-Rev</t>
  </si>
  <si>
    <t>PET Imaging For Necrotic Tissue Identification</t>
  </si>
  <si>
    <t>Regan Bolding</t>
  </si>
  <si>
    <t>Rachel Davis</t>
  </si>
  <si>
    <t>Mark Ray</t>
  </si>
  <si>
    <t>Dan Sloat</t>
  </si>
  <si>
    <t>Allied Health</t>
  </si>
  <si>
    <t>Beulah Adigun</t>
  </si>
  <si>
    <t>Brittany Wheeler</t>
  </si>
  <si>
    <t>Jessica James</t>
  </si>
  <si>
    <t>Buttons Technology</t>
  </si>
  <si>
    <t>Greta Fiedler</t>
  </si>
  <si>
    <t>Axel DQMR</t>
  </si>
  <si>
    <t>Wesley Zhang</t>
  </si>
  <si>
    <t>Christa Holland</t>
  </si>
  <si>
    <t>Orin Imtiaz</t>
  </si>
  <si>
    <t>Temidepelayo Ojekunle</t>
  </si>
  <si>
    <t>Exploration</t>
  </si>
  <si>
    <t>Sergio Gomez</t>
  </si>
  <si>
    <t>Andrea Inacio</t>
  </si>
  <si>
    <t>John Roff</t>
  </si>
  <si>
    <t>Shadi Salahshoor</t>
  </si>
  <si>
    <t>Stanely Black&amp;Decker</t>
  </si>
  <si>
    <t>Ocupath</t>
  </si>
  <si>
    <t>Annie Coffey</t>
  </si>
  <si>
    <t>Kyle Fronckiewics</t>
  </si>
  <si>
    <t>Sona Nuguri</t>
  </si>
  <si>
    <t>Aaron Snodell</t>
  </si>
  <si>
    <t>Who's On My Wifi</t>
  </si>
  <si>
    <t>Austin Coffey</t>
  </si>
  <si>
    <t>Tony Efoli</t>
  </si>
  <si>
    <t>Crystal Gillette</t>
  </si>
  <si>
    <t>Sebastian Tippett</t>
  </si>
  <si>
    <t>Mengrui Luo</t>
  </si>
  <si>
    <t>Naveen Kumar Penki</t>
  </si>
  <si>
    <t>Timo Sheridan</t>
  </si>
  <si>
    <t>Delano Usiukiewicz</t>
  </si>
  <si>
    <t>Richard Yang</t>
  </si>
  <si>
    <t>Ultra Botanica</t>
  </si>
  <si>
    <t>Hannah Bladen</t>
  </si>
  <si>
    <t>Kaitlin Lutz</t>
  </si>
  <si>
    <t>Jourdan Srouji</t>
  </si>
  <si>
    <t>Drug Delivery</t>
  </si>
  <si>
    <t>Reid Grimes</t>
  </si>
  <si>
    <t>Catherine Hyland</t>
  </si>
  <si>
    <t>Lindey Nguyen</t>
  </si>
  <si>
    <t>?Abbey Marino?</t>
  </si>
  <si>
    <t>Kara Howse</t>
  </si>
  <si>
    <t>Kelsey Ladenburger</t>
  </si>
  <si>
    <t>Katie Urey-Wing</t>
  </si>
  <si>
    <t>Abbey Marino</t>
  </si>
  <si>
    <t>Greta Fielder</t>
  </si>
  <si>
    <t>Thunder Launchpad Accelerator</t>
  </si>
  <si>
    <t>Younji Sohn</t>
  </si>
  <si>
    <t>Brian Phillips</t>
  </si>
  <si>
    <t>April Nguyen</t>
  </si>
  <si>
    <t>Chase Bonar</t>
  </si>
  <si>
    <t>Nikiel Kim</t>
  </si>
  <si>
    <t>Keith Nutter</t>
  </si>
  <si>
    <t>Mary Vu</t>
  </si>
  <si>
    <t>Platin Iradukanda</t>
  </si>
  <si>
    <t>Ducha Hapsari</t>
  </si>
  <si>
    <t>Antonio Manuel</t>
  </si>
  <si>
    <t>NextThought</t>
  </si>
  <si>
    <t>Millet Gilmore</t>
  </si>
  <si>
    <t>Dorothy Lam</t>
  </si>
  <si>
    <t>Jacob Moser</t>
  </si>
  <si>
    <t>Jordan Zimmerman</t>
  </si>
  <si>
    <t>Alan Lee</t>
  </si>
  <si>
    <t>Amy Le</t>
  </si>
  <si>
    <t>James Martindale</t>
  </si>
  <si>
    <t>John Tran</t>
  </si>
  <si>
    <t>Spinal Singularity</t>
  </si>
  <si>
    <t>Alumni</t>
  </si>
  <si>
    <t>OK Coders</t>
  </si>
  <si>
    <t>Antibacterial Nanoparticles</t>
  </si>
  <si>
    <t>Souwelimatou Amadou Amani</t>
  </si>
  <si>
    <t>Kate Byrne</t>
  </si>
  <si>
    <t>Micah Gillezeau</t>
  </si>
  <si>
    <t>Angel Giron</t>
  </si>
  <si>
    <t>Endoscopy Tech</t>
  </si>
  <si>
    <t>Marvin Manalastas</t>
  </si>
  <si>
    <t>Andrea Pemberton</t>
  </si>
  <si>
    <t>Elissa Renberg</t>
  </si>
  <si>
    <t>Caitlin Turner</t>
  </si>
  <si>
    <t>StarGait</t>
  </si>
  <si>
    <t>Citizen Science Coil Collection</t>
  </si>
  <si>
    <t>Emily Black</t>
  </si>
  <si>
    <t>Zainab Sandhu</t>
  </si>
  <si>
    <t>Alex Parsells</t>
  </si>
  <si>
    <t>Richard Holt</t>
  </si>
  <si>
    <t>Eva Sparks</t>
  </si>
  <si>
    <t>Cale Powers</t>
  </si>
  <si>
    <t>Leo Chiu</t>
  </si>
  <si>
    <t>Austin Parker</t>
  </si>
  <si>
    <t>Eddy Alfaro Cordoba</t>
  </si>
  <si>
    <t>Kendall Prather</t>
  </si>
  <si>
    <t>Dean Goodrich</t>
  </si>
  <si>
    <t>ConsumerAffairs</t>
  </si>
  <si>
    <t>Pranoy Behera</t>
  </si>
  <si>
    <t>Kaylee Kimbrough</t>
  </si>
  <si>
    <t>Minori Matsuzawa</t>
  </si>
  <si>
    <t>Paula Tran</t>
  </si>
  <si>
    <t>Srisima Kondapaneni</t>
  </si>
  <si>
    <t>Chan Lakamsani</t>
  </si>
  <si>
    <t>Shiqiao Wang</t>
  </si>
  <si>
    <t>Anna Young</t>
  </si>
  <si>
    <t>Dean McGee Eye Institue</t>
  </si>
  <si>
    <t>Atul Abraham Muttencherry</t>
  </si>
  <si>
    <t>Trevor Shofner</t>
  </si>
  <si>
    <t>Younes Rebbaj</t>
  </si>
  <si>
    <t>Frank Whittier</t>
  </si>
  <si>
    <t>Culinary Medicine</t>
  </si>
  <si>
    <t>Whitney Cipolla</t>
  </si>
  <si>
    <t>Charles John</t>
  </si>
  <si>
    <t>Sherrie Sherrick</t>
  </si>
  <si>
    <t>Brittanie Whitney</t>
  </si>
  <si>
    <t>Drew Yamashita</t>
  </si>
  <si>
    <t>Rachel Lobaugh</t>
  </si>
  <si>
    <t>Colt Bennett</t>
  </si>
  <si>
    <t>H. Pike</t>
  </si>
  <si>
    <t>Sabrina Vivar</t>
  </si>
  <si>
    <t>Chandler Doudican</t>
  </si>
  <si>
    <t>Qais Al Magbali</t>
  </si>
  <si>
    <t>Laura Bertran</t>
  </si>
  <si>
    <t>Austin Chan</t>
  </si>
  <si>
    <t>Ali Al Khayer</t>
  </si>
  <si>
    <t>Jules Philippe Sy</t>
  </si>
  <si>
    <t>Andrew Elaryan</t>
  </si>
  <si>
    <t>Chanukya Lakamsani</t>
  </si>
  <si>
    <t>Sai Maryada</t>
  </si>
  <si>
    <t>Vy Dinh</t>
  </si>
  <si>
    <t>Mitchelle Katemauswa</t>
  </si>
  <si>
    <t>Filipa Carvalho</t>
  </si>
  <si>
    <t>Eduardo Campbell</t>
  </si>
  <si>
    <t>Cutter Molly</t>
  </si>
  <si>
    <t>Kosco Elizabeth</t>
  </si>
  <si>
    <t>Peace Mojekwu</t>
  </si>
  <si>
    <t>Qais Al Muqbali</t>
  </si>
  <si>
    <t>Siva Ganta</t>
  </si>
  <si>
    <t>Nithivarn Shanigaram</t>
  </si>
  <si>
    <t>Sanjana Mudduluru</t>
  </si>
  <si>
    <t>Maleah Willis</t>
  </si>
  <si>
    <t>Ismael Carmona Casado</t>
  </si>
  <si>
    <t>Talia Dean</t>
  </si>
  <si>
    <t>Tiphelele Dlamini</t>
  </si>
  <si>
    <t>Zama Magagula</t>
  </si>
  <si>
    <t>Richard Papenfus</t>
  </si>
  <si>
    <t>Kelen Caskey</t>
  </si>
  <si>
    <t>Thando Mpofu</t>
  </si>
  <si>
    <t>Isabelle Swanson</t>
  </si>
  <si>
    <t>Claire Sbanotto</t>
  </si>
  <si>
    <t>Director of Community programs</t>
  </si>
  <si>
    <t>Babel Analytics</t>
  </si>
  <si>
    <t>Harsh Patel</t>
  </si>
  <si>
    <t>Dilina Abudurexiti</t>
  </si>
  <si>
    <t>Food Business Connector</t>
  </si>
  <si>
    <t>Emma Biskup</t>
  </si>
  <si>
    <t>Joy Nath</t>
  </si>
  <si>
    <t>Kate Wheeler</t>
  </si>
  <si>
    <t>Haydn Hoffman</t>
  </si>
  <si>
    <t>Abhigna Reddy</t>
  </si>
  <si>
    <t>Arjun Ganesan</t>
  </si>
  <si>
    <t>Ji Ni</t>
  </si>
  <si>
    <t>Nilam Reshim</t>
  </si>
  <si>
    <t>Aida Sertovic</t>
  </si>
  <si>
    <t>Corona Anderson</t>
  </si>
  <si>
    <t>Kristina Aleksanyan</t>
  </si>
  <si>
    <t>Owen Lusky</t>
  </si>
  <si>
    <t>Racheal Davis</t>
  </si>
  <si>
    <t>Eric Enyong</t>
  </si>
  <si>
    <t>Logesvar Balaguru</t>
  </si>
  <si>
    <t>Energy</t>
  </si>
  <si>
    <t>Thuwaiba Al Wahaibi</t>
  </si>
  <si>
    <t>Nurlan Atauollin</t>
  </si>
  <si>
    <t>Berri Tamfu</t>
  </si>
  <si>
    <t>Jared Isaacson</t>
  </si>
  <si>
    <t>Michael Asante</t>
  </si>
  <si>
    <t>Wijdan Al-Jabri</t>
  </si>
  <si>
    <t>Shivam Patel</t>
  </si>
  <si>
    <t>Tobe Anyaezu</t>
  </si>
  <si>
    <t>Kevin Sheppard</t>
  </si>
  <si>
    <t>Irene Georgestone</t>
  </si>
  <si>
    <t>Suraj Patel</t>
  </si>
  <si>
    <t>Isaac Trachtenberg</t>
  </si>
  <si>
    <t>Stuart Yamashita</t>
  </si>
  <si>
    <t>Kofi Gyening</t>
  </si>
  <si>
    <t>Austin Rhines</t>
  </si>
  <si>
    <t>Zareen Khan</t>
  </si>
  <si>
    <t>Sarah Eltell</t>
  </si>
  <si>
    <t>Ruiqi Wei</t>
  </si>
  <si>
    <t>Sumaya Sandhu</t>
  </si>
  <si>
    <t>Marcos Bernier</t>
  </si>
  <si>
    <t>Addie Kammerlocher</t>
  </si>
  <si>
    <t>Edward Reali</t>
  </si>
  <si>
    <t>Rabiea Abo Taha</t>
  </si>
  <si>
    <t>Benjamin Xia</t>
  </si>
  <si>
    <t>Jennifer Burrows</t>
  </si>
  <si>
    <t>Siri Nuguri</t>
  </si>
  <si>
    <t>Tanaka Ngwanga</t>
  </si>
  <si>
    <t>Oyin Obisesan</t>
  </si>
  <si>
    <t>Prakhyat Reddy</t>
  </si>
  <si>
    <t>Jessica Hooper</t>
  </si>
  <si>
    <t>Claire Spanotto</t>
  </si>
  <si>
    <t>Jesse Blackledge</t>
  </si>
  <si>
    <t>Anthony Immenshuh</t>
  </si>
  <si>
    <t>Makya Stell</t>
  </si>
  <si>
    <t>Ted Xiong</t>
  </si>
  <si>
    <t>Kirabo Banya</t>
  </si>
  <si>
    <t>Maduo Dijeng</t>
  </si>
  <si>
    <t>Averie Gibbins</t>
  </si>
  <si>
    <t>Talento</t>
  </si>
  <si>
    <t>Jonathan Hendrix</t>
  </si>
  <si>
    <t>Muhammad Riaz</t>
  </si>
  <si>
    <t>Reety Erwin</t>
  </si>
  <si>
    <t>OU Med</t>
  </si>
  <si>
    <t>Bujana Allushi</t>
  </si>
  <si>
    <t>Fiifi Neizer-Ashun</t>
  </si>
  <si>
    <t>John Noel</t>
  </si>
  <si>
    <t>Nondumiso Mndzeblel</t>
  </si>
  <si>
    <t>Christabel Afari-Acquah</t>
  </si>
  <si>
    <t>Chinedu Candidus Nsude</t>
  </si>
  <si>
    <t>Jakob Paugh</t>
  </si>
  <si>
    <t>Mercy Ndagire</t>
  </si>
  <si>
    <t>Shubhashree Sathe</t>
  </si>
  <si>
    <t>Jon Hendrix</t>
  </si>
  <si>
    <t>Donald Albers</t>
  </si>
  <si>
    <t>Erica Miller</t>
  </si>
  <si>
    <t>Zuyyin Izza Mohamed Shiraj</t>
  </si>
  <si>
    <t>Faith Ferrell</t>
  </si>
  <si>
    <t>Jack DeLester</t>
  </si>
  <si>
    <t>Sophie Miller</t>
  </si>
  <si>
    <t>Jonathan Dumar</t>
  </si>
  <si>
    <t>Jonah Barth</t>
  </si>
  <si>
    <t>Maya Stell</t>
  </si>
  <si>
    <t>Karan Peo</t>
  </si>
  <si>
    <t>Fazil Raja</t>
  </si>
  <si>
    <t>Tina Nguyen</t>
  </si>
  <si>
    <t>Nima Shadaram</t>
  </si>
  <si>
    <t>Willie Zeng</t>
  </si>
  <si>
    <t>VC</t>
  </si>
  <si>
    <t>Coulson Gannaway</t>
  </si>
  <si>
    <t>Fifi Neizer-Ashun</t>
  </si>
  <si>
    <t>Aaron Salazar Latham</t>
  </si>
  <si>
    <t>Hadassah Terry</t>
  </si>
  <si>
    <t>2023 Spring</t>
  </si>
  <si>
    <t>Hawaou Elhadji Abdou</t>
  </si>
  <si>
    <t>Kadon Le</t>
  </si>
  <si>
    <t>Lincoln Wright</t>
  </si>
  <si>
    <t>Surya Kapoor</t>
  </si>
  <si>
    <t>Abdulamid Fakoya</t>
  </si>
  <si>
    <t>Melanie Brusnahan</t>
  </si>
  <si>
    <t>Luke Hamilton</t>
  </si>
  <si>
    <t>Derrick Bowen</t>
  </si>
  <si>
    <t>Abdallah Al Balushi</t>
  </si>
  <si>
    <t>Juardon Neal</t>
  </si>
  <si>
    <t>Rachelle Richmond</t>
  </si>
  <si>
    <t>Kingsley Uzogor</t>
  </si>
  <si>
    <t>Blake Winchester</t>
  </si>
  <si>
    <t>Luka Jercic</t>
  </si>
  <si>
    <t>Brandon Kieu</t>
  </si>
  <si>
    <t>Prisca Mbainayel</t>
  </si>
  <si>
    <t>Maria Doan</t>
  </si>
  <si>
    <t>Jamshed Karimnazarov</t>
  </si>
  <si>
    <t>Rebekah Lee</t>
  </si>
  <si>
    <t>Stephen Song</t>
  </si>
  <si>
    <t>Ahmed Abdelaziz</t>
  </si>
  <si>
    <t>Dieakololaoluwa Adebakin</t>
  </si>
  <si>
    <t>Daniel Jackson</t>
  </si>
  <si>
    <t>Mona Salem</t>
  </si>
  <si>
    <t>Nishant Ahlawat</t>
  </si>
  <si>
    <t>Jack Delester</t>
  </si>
  <si>
    <t>Aaron Salazar</t>
  </si>
  <si>
    <t>Ashlyn Darter</t>
  </si>
  <si>
    <t>Diekololaoluwa</t>
  </si>
  <si>
    <t>Caitlin Cotteler</t>
  </si>
  <si>
    <t>Sarah Cate Lay</t>
  </si>
  <si>
    <t>Sunny Wickramasinghe</t>
  </si>
  <si>
    <t>Trace Tuthill</t>
  </si>
  <si>
    <t>Oluwademilade Jooda</t>
  </si>
  <si>
    <t>Jennifer Lubwama</t>
  </si>
  <si>
    <t>Vineet Madur</t>
  </si>
  <si>
    <t>Martin Gonzalez</t>
  </si>
  <si>
    <t>Justyna Luczak</t>
  </si>
  <si>
    <t>Martha Tsaliki</t>
  </si>
  <si>
    <t>Tadiwa Mugwadi</t>
  </si>
  <si>
    <t>Michael Papenfus</t>
  </si>
  <si>
    <t>Luke Portman</t>
  </si>
  <si>
    <t>Cecilia Pham</t>
  </si>
  <si>
    <t>Teddy Diallo</t>
  </si>
  <si>
    <t>Baseer Khan</t>
  </si>
  <si>
    <t>Kashaf Mujeeb</t>
  </si>
  <si>
    <t>Claire Nguyen</t>
  </si>
  <si>
    <t>Adam Holton</t>
  </si>
  <si>
    <t>Thea Massi</t>
  </si>
  <si>
    <t>Marcus Uhlig</t>
  </si>
  <si>
    <t>Madison Hemenway</t>
  </si>
  <si>
    <t>Patient Inform</t>
  </si>
  <si>
    <t>Ameer Ghazal</t>
  </si>
  <si>
    <t>Kristiana Karshelieva</t>
  </si>
  <si>
    <t>Blake Lee</t>
  </si>
  <si>
    <t>Emma Stubby</t>
  </si>
  <si>
    <t>Daniel Yowell</t>
  </si>
  <si>
    <t>Caitlin Cotteleer</t>
  </si>
  <si>
    <t>Wesley Bruce</t>
  </si>
  <si>
    <t>Gavin Nation</t>
  </si>
  <si>
    <t>Efe Poyraz</t>
  </si>
  <si>
    <t>Himanshu Atwal</t>
  </si>
  <si>
    <t>Stephanie Uribe</t>
  </si>
  <si>
    <t>Muriel Kroflin</t>
  </si>
  <si>
    <t>OKRespond/Kidvation</t>
  </si>
  <si>
    <t>Chris Ortiz</t>
  </si>
  <si>
    <t>Forza</t>
  </si>
  <si>
    <t>Kaile Mulimba</t>
  </si>
  <si>
    <t>Thaetal</t>
  </si>
  <si>
    <t>Roshan Rai</t>
  </si>
  <si>
    <t>DonateStock</t>
  </si>
  <si>
    <t>Bridges Foundation</t>
  </si>
  <si>
    <t>Pierce Hudgens</t>
  </si>
  <si>
    <t>Sofia Torres</t>
  </si>
  <si>
    <t>Sanam Kumar</t>
  </si>
  <si>
    <t>Samantha Hepburn</t>
  </si>
  <si>
    <t>Western Industries Corporation (WIC)</t>
  </si>
  <si>
    <t>Fizit</t>
  </si>
  <si>
    <t>Michael Hauge</t>
  </si>
  <si>
    <t>Kristina Soboleva</t>
  </si>
  <si>
    <t>Adarsh Udassi</t>
  </si>
  <si>
    <t>SummoxOne</t>
  </si>
  <si>
    <t>Eniola Adewunmi</t>
  </si>
  <si>
    <t>Katherine Fox</t>
  </si>
  <si>
    <t>Jake Dyke</t>
  </si>
  <si>
    <t>Andrew Haskell</t>
  </si>
  <si>
    <t>Abdulamid Fakoye</t>
  </si>
  <si>
    <t>Demi Jooda</t>
  </si>
  <si>
    <t>Justyna Lukczak</t>
  </si>
  <si>
    <t>Director of University Programs</t>
  </si>
  <si>
    <t>AI Social Media Video Reels</t>
  </si>
  <si>
    <t>Akel Sozudogru</t>
  </si>
  <si>
    <t>Rajeev Kumar</t>
  </si>
  <si>
    <t>Anany Gupta</t>
  </si>
  <si>
    <t>Paul Gariy</t>
  </si>
  <si>
    <t>Alexis Kituuka</t>
  </si>
  <si>
    <t>Cal Smith</t>
  </si>
  <si>
    <t>Martín Bruno</t>
  </si>
  <si>
    <t>Najib Saleh</t>
  </si>
  <si>
    <t>Amplify for Women</t>
  </si>
  <si>
    <t>Abby Brunnert</t>
  </si>
  <si>
    <t>Devyn Newman</t>
  </si>
  <si>
    <t>Operation Halo</t>
  </si>
  <si>
    <t>Raeed Zainuddin</t>
  </si>
  <si>
    <t>True Sky Federal Credit Union</t>
  </si>
  <si>
    <t>Agya Gaaro</t>
  </si>
  <si>
    <t>Biolytx BP-002</t>
  </si>
  <si>
    <t>Tulhoma</t>
  </si>
  <si>
    <t>Kendall Cousins</t>
  </si>
  <si>
    <t>Matthew Anderson</t>
  </si>
  <si>
    <t>Karissa Colombe</t>
  </si>
  <si>
    <t>Deploy Tech</t>
  </si>
  <si>
    <t>Branched Polyethylenimine (BPEI)</t>
  </si>
  <si>
    <t>Elian Tan Huynh</t>
  </si>
  <si>
    <t>Madison Milan</t>
  </si>
  <si>
    <t>Shahadat Hossain</t>
  </si>
  <si>
    <t>988 Community Responder Safety App</t>
  </si>
  <si>
    <t>Mohamed Abdelnaby</t>
  </si>
  <si>
    <t>Daniel Esambu</t>
  </si>
  <si>
    <t>Hunter Mena</t>
  </si>
  <si>
    <t>Hunter Merrill</t>
  </si>
  <si>
    <t>Tyler Vuong</t>
  </si>
  <si>
    <t>Tanaka Mutumhe</t>
  </si>
  <si>
    <t>Ally Khrais</t>
  </si>
  <si>
    <t>Winnie Du</t>
  </si>
  <si>
    <t>Farzana Tasnim</t>
  </si>
  <si>
    <t>Callisto</t>
  </si>
  <si>
    <t>Vanessa Soric Dodig</t>
  </si>
  <si>
    <t>Benilson Sebastiao</t>
  </si>
  <si>
    <t>Caleb Anagnos</t>
  </si>
  <si>
    <t>Chanel Karungi</t>
  </si>
  <si>
    <t>Andipanyasha Mutevedzi</t>
  </si>
  <si>
    <t>Home AC Monitoring Kit</t>
  </si>
  <si>
    <t>Relatient</t>
  </si>
  <si>
    <t>Christy Culp</t>
  </si>
  <si>
    <t>Mike Dai Liangzhi</t>
  </si>
  <si>
    <t>Anna Faakye</t>
  </si>
  <si>
    <t>Michael Simic</t>
  </si>
  <si>
    <t>Tobe Energy</t>
  </si>
  <si>
    <t>Anna Birgitta Nilsson</t>
  </si>
  <si>
    <t>Anoushika Singh</t>
  </si>
  <si>
    <t>Kaivalya Meduri</t>
  </si>
  <si>
    <t>Nelly Komuhendo</t>
  </si>
  <si>
    <t>Diekololaoluwa Adebakin</t>
  </si>
  <si>
    <t>Alina Hemani</t>
  </si>
  <si>
    <t>Flexible Heart Sensor</t>
  </si>
  <si>
    <t>Bradley Buss</t>
  </si>
  <si>
    <t>Pipeline Incident Software</t>
  </si>
  <si>
    <t>Faith Ndeh</t>
  </si>
  <si>
    <t>Speckle View</t>
  </si>
  <si>
    <t>Neil Luhar</t>
  </si>
  <si>
    <t>Venom Biologics</t>
  </si>
  <si>
    <t>Project MJ (Mia Jackson)</t>
  </si>
  <si>
    <t>Benjamin Tirado</t>
  </si>
  <si>
    <t>Joshua Kam</t>
  </si>
  <si>
    <t>Kazi Priom</t>
  </si>
  <si>
    <t>Oumarou Gouba</t>
  </si>
  <si>
    <t>Sujan Ayyagari</t>
  </si>
  <si>
    <t>Kennedy Corbin</t>
  </si>
  <si>
    <t>Matthew Beyer</t>
  </si>
  <si>
    <t>Reed Brackett</t>
  </si>
  <si>
    <t>Reem Kotaiche</t>
  </si>
  <si>
    <t>VesprSolar</t>
  </si>
  <si>
    <t>Mohs Imaging System (OKBioStart)</t>
  </si>
  <si>
    <t>Alice Nanyanzi</t>
  </si>
  <si>
    <t>Carl McKinney</t>
  </si>
  <si>
    <t>David Bolade</t>
  </si>
  <si>
    <t>Zach Zvonecek</t>
  </si>
  <si>
    <t>Director of University programs</t>
  </si>
  <si>
    <t>Spring 2026</t>
  </si>
  <si>
    <t>Henry Olasunkanmi Olayiwola</t>
  </si>
  <si>
    <t>MMPP Recycling</t>
  </si>
  <si>
    <t>Owen Cunningham</t>
  </si>
  <si>
    <t>ParenchyGel</t>
  </si>
  <si>
    <t>Grecia Lopez</t>
  </si>
  <si>
    <t>Biodegradable Film Packagin</t>
  </si>
  <si>
    <t xml:space="preserve">SoBA </t>
  </si>
  <si>
    <t>Science Museum of Oklahoma</t>
  </si>
  <si>
    <t>Lotty Shipepe</t>
  </si>
  <si>
    <t>Angelina Lang</t>
  </si>
  <si>
    <t>Santiago Leon</t>
  </si>
  <si>
    <t>Daniel Tanui</t>
  </si>
  <si>
    <t>SoBA (Devs)</t>
  </si>
  <si>
    <t>Jai Suryawanshi</t>
  </si>
  <si>
    <t>Wahid Haidari</t>
  </si>
  <si>
    <t>Ousmane Kone</t>
  </si>
  <si>
    <t>Ian Dang</t>
  </si>
  <si>
    <t>Nthati Lehloenya</t>
  </si>
  <si>
    <t>Tech Comm</t>
  </si>
  <si>
    <t>Pelairo</t>
  </si>
  <si>
    <t>Anand Akula</t>
  </si>
  <si>
    <t>Murewa Oderinde</t>
  </si>
  <si>
    <t>Isabella Fones</t>
  </si>
  <si>
    <t>Alexandra Jonas</t>
  </si>
  <si>
    <t>APD</t>
  </si>
  <si>
    <t>White Label Project</t>
  </si>
  <si>
    <t>Taye Romao</t>
  </si>
  <si>
    <t>Adwaiy Perumana</t>
  </si>
  <si>
    <t>Temalangeni Dlamini</t>
  </si>
  <si>
    <t>Zaid Jasara</t>
  </si>
  <si>
    <t>Dr. Agrahari's Thermogel</t>
  </si>
  <si>
    <t>Patrycja Szybowska</t>
  </si>
  <si>
    <t>Vaibhav Dighe</t>
  </si>
  <si>
    <t>Arjun Sachdeva</t>
  </si>
  <si>
    <t>Chinmay Agrawal</t>
  </si>
  <si>
    <t>Shingai Choto</t>
  </si>
  <si>
    <t>Fall 2026</t>
  </si>
  <si>
    <t>Klein Outdoors</t>
  </si>
  <si>
    <t>Fabrice Kouassi</t>
  </si>
  <si>
    <t>Charbel Saliba</t>
  </si>
  <si>
    <t>Sarah Le</t>
  </si>
  <si>
    <t>Favour Aloziem</t>
  </si>
  <si>
    <t>Laura Nguyen</t>
  </si>
  <si>
    <t>SoBA</t>
  </si>
  <si>
    <t>PurposeMint</t>
  </si>
  <si>
    <t>Natalie Mulat</t>
  </si>
  <si>
    <t>Tiffany Nguyen</t>
  </si>
  <si>
    <t>Ishan Patel</t>
  </si>
  <si>
    <t>Thomas Duncan</t>
  </si>
  <si>
    <t>Nischal Dinesh</t>
  </si>
  <si>
    <t>Arsen Harutyunyan</t>
  </si>
  <si>
    <t>Ejeehi Umobuarie</t>
  </si>
  <si>
    <t>Levin Ward</t>
  </si>
  <si>
    <t>Ibrahim Mohammed</t>
  </si>
  <si>
    <t>TechComm</t>
  </si>
  <si>
    <t>BidFlow</t>
  </si>
  <si>
    <t>Chinedu Onyekwere</t>
  </si>
  <si>
    <t>Amen Ftirich</t>
  </si>
  <si>
    <t>Namulinde Nnaggenda</t>
  </si>
  <si>
    <t>Lilian Higareda Castillo</t>
  </si>
  <si>
    <t>Daryl Yi Jin Tan</t>
  </si>
  <si>
    <t>Keith Brigham</t>
  </si>
  <si>
    <t>2020 Summer</t>
  </si>
  <si>
    <t>Impact Academy</t>
  </si>
  <si>
    <t>Meri Grace Francis</t>
  </si>
  <si>
    <t>MHAOK</t>
  </si>
  <si>
    <t>Deborah Laker</t>
  </si>
  <si>
    <t>Megan Losoncy</t>
  </si>
  <si>
    <t>Srivats Srinivasan</t>
  </si>
  <si>
    <t>Shianne Taylor</t>
  </si>
  <si>
    <t>Joban Zepeda</t>
  </si>
  <si>
    <t>R&amp;G Family Grocers</t>
  </si>
  <si>
    <t>Camden Walker</t>
  </si>
  <si>
    <t>Kathryn Moder</t>
  </si>
  <si>
    <t>Brianna Davis</t>
  </si>
  <si>
    <t>Candelaria Alayon</t>
  </si>
  <si>
    <t>Matt Burchard</t>
  </si>
  <si>
    <t>TFA Teacher Support</t>
  </si>
  <si>
    <t>Leah Fitter</t>
  </si>
  <si>
    <t>Lauren Ireland</t>
  </si>
  <si>
    <t>Bryce Ursey</t>
  </si>
  <si>
    <t>Dajah Brooks</t>
  </si>
  <si>
    <t>Women in Recovery: Token Economy</t>
  </si>
  <si>
    <t>Maddie Veit</t>
  </si>
  <si>
    <t>Kayla Bender</t>
  </si>
  <si>
    <t>Calah McQuarters</t>
  </si>
  <si>
    <t>MHAOK, TFA Teacher Support</t>
  </si>
  <si>
    <t>R&amp;G Family Grocers, Women in Recovery</t>
  </si>
  <si>
    <t>2021 Summer</t>
  </si>
  <si>
    <t>Aaron Lucas</t>
  </si>
  <si>
    <t>Braxton Gore</t>
  </si>
  <si>
    <t>Emily Serunjoji</t>
  </si>
  <si>
    <t>Emma Dawson</t>
  </si>
  <si>
    <t>Emma, Donnelly</t>
  </si>
  <si>
    <t>Kyle J Peterson</t>
  </si>
  <si>
    <t>Lauren Anderson</t>
  </si>
  <si>
    <t>Logan Cornwell</t>
  </si>
  <si>
    <t>Megan Ames</t>
  </si>
  <si>
    <t>Valeria Brizuela</t>
  </si>
  <si>
    <t>Zahra Cummings</t>
  </si>
  <si>
    <t>2022 Summer</t>
  </si>
  <si>
    <t>Mikhal Brown</t>
  </si>
  <si>
    <t>36 Degrees North</t>
  </si>
  <si>
    <t>Gabriela Diaz</t>
  </si>
  <si>
    <t>Kevin Eagleson</t>
  </si>
  <si>
    <t>City of Tulsa New Tulsans Initiative</t>
  </si>
  <si>
    <t>Hawaou Elh Abdou</t>
  </si>
  <si>
    <t>Adoniah Colbert</t>
  </si>
  <si>
    <t>Langh Cing</t>
  </si>
  <si>
    <t>Genesis Dambreville</t>
  </si>
  <si>
    <t>Fresh Rx</t>
  </si>
  <si>
    <t>Nyah Banks</t>
  </si>
  <si>
    <t>Tatitiona Harris</t>
  </si>
  <si>
    <t>Asjah Pratt</t>
  </si>
  <si>
    <t>Nahjah Phillips</t>
  </si>
  <si>
    <t>2023 Summer</t>
  </si>
  <si>
    <t>Riley Blackford</t>
  </si>
  <si>
    <t>Terrence Crutcher Foundation</t>
  </si>
  <si>
    <t>Keirsten Metcalf</t>
  </si>
  <si>
    <t>Madyson Hughes</t>
  </si>
  <si>
    <t>Caleb Nealis</t>
  </si>
  <si>
    <t>Lisa's House Ministries</t>
  </si>
  <si>
    <t>Marie Yvette Ingabire</t>
  </si>
  <si>
    <t>Elizabeth Manu</t>
  </si>
  <si>
    <t>J'Parle</t>
  </si>
  <si>
    <t>Sara Allen</t>
  </si>
  <si>
    <t>Chidera Nwachukwi</t>
  </si>
  <si>
    <t>Darbee Rich</t>
  </si>
  <si>
    <t>2024 Summer</t>
  </si>
  <si>
    <t>Wisdom Akanwe</t>
  </si>
  <si>
    <t>Circle Cinema</t>
  </si>
  <si>
    <t>Abigail Chow</t>
  </si>
  <si>
    <t>Olivia Lauderback</t>
  </si>
  <si>
    <t>Brooke Blakely</t>
  </si>
  <si>
    <t>Tulsa Botanic Garden</t>
  </si>
  <si>
    <t>Andipa Mutevedzi</t>
  </si>
  <si>
    <t>Sarah Haskell</t>
  </si>
  <si>
    <t>Prism Project</t>
  </si>
  <si>
    <t>Elizabeth McKeown</t>
  </si>
  <si>
    <t>Jennifer Roblada</t>
  </si>
  <si>
    <t>Alexander Stone-Gebhardt</t>
  </si>
  <si>
    <t>2025 Summer</t>
  </si>
  <si>
    <t>Caleb McDaniel</t>
  </si>
  <si>
    <t>A Way Home For Tulsa</t>
  </si>
  <si>
    <t>(DeeDee) Dadiso Chitsa</t>
  </si>
  <si>
    <t>Hanatou Yahaya Idi</t>
  </si>
  <si>
    <t>Hayden Heckenkemper</t>
  </si>
  <si>
    <t>LoLoLook</t>
  </si>
  <si>
    <t>(Alexa) Alexandra Titiane Pascoal Jonas</t>
  </si>
  <si>
    <t>Sutton Spinner</t>
  </si>
  <si>
    <t>Maame Abena Adjeiwaa</t>
  </si>
  <si>
    <t>Shilpi Bardhan</t>
  </si>
  <si>
    <t>PFLAG</t>
  </si>
  <si>
    <t>Rodney Mataruse</t>
  </si>
  <si>
    <t>Kylah Bowser</t>
  </si>
  <si>
    <t>Summer 2026</t>
  </si>
  <si>
    <t>Norman Summer Non-Profit</t>
  </si>
  <si>
    <t>Owasso Community Resources</t>
  </si>
  <si>
    <t>Bristow Social Services</t>
  </si>
  <si>
    <t>2013-2014</t>
  </si>
  <si>
    <t>The Mine</t>
  </si>
  <si>
    <t>Staff/TL</t>
  </si>
  <si>
    <t>One Giant Leap</t>
  </si>
  <si>
    <t>Katy Tipton</t>
  </si>
  <si>
    <t>Participant</t>
  </si>
  <si>
    <t>Patricia Iven</t>
  </si>
  <si>
    <t>Zach Carter</t>
  </si>
  <si>
    <t>Stefanie Owens</t>
  </si>
  <si>
    <t>Sarah Teague</t>
  </si>
  <si>
    <t>The Bridge (TAUW)</t>
  </si>
  <si>
    <t>Carly Schaer</t>
  </si>
  <si>
    <t>Ryan McDaniel</t>
  </si>
  <si>
    <t>The Bridge</t>
  </si>
  <si>
    <t>Sofia Nagda</t>
  </si>
  <si>
    <t>Mike Noshay</t>
  </si>
  <si>
    <t>Cassie Reese</t>
  </si>
  <si>
    <t>2014-2015</t>
  </si>
  <si>
    <t>Global Gardens</t>
  </si>
  <si>
    <t>Rodrigo Rojas</t>
  </si>
  <si>
    <t>Kathryn Fox</t>
  </si>
  <si>
    <t>Bradford Johnson</t>
  </si>
  <si>
    <t>Stacy Kaut</t>
  </si>
  <si>
    <t>Adele Beasley</t>
  </si>
  <si>
    <t>Kitchen 66</t>
  </si>
  <si>
    <t>Raghu Menon</t>
  </si>
  <si>
    <t>Holden Mitchell</t>
  </si>
  <si>
    <t>Shaheen Sheikh</t>
  </si>
  <si>
    <t>Mark Neufeld</t>
  </si>
  <si>
    <t>Noah Stout</t>
  </si>
  <si>
    <t>2015-2016</t>
  </si>
  <si>
    <t>Feed The Need</t>
  </si>
  <si>
    <t>Jesse Badoe</t>
  </si>
  <si>
    <t>Leslie Briggs</t>
  </si>
  <si>
    <t>Christa Camp</t>
  </si>
  <si>
    <t>Max Scheder-Bieschen</t>
  </si>
  <si>
    <t>Kiana Smith</t>
  </si>
  <si>
    <t>Eric Weidemann</t>
  </si>
  <si>
    <t>Modus</t>
  </si>
  <si>
    <t>Forrest Cox</t>
  </si>
  <si>
    <t>James Wagner</t>
  </si>
  <si>
    <t>Ilana Shushansky</t>
  </si>
  <si>
    <t>Zach Stoycoff</t>
  </si>
  <si>
    <t>2016-2017</t>
  </si>
  <si>
    <t>Code Hub</t>
  </si>
  <si>
    <t>Lindsay Shields</t>
  </si>
  <si>
    <t>Heather Langley</t>
  </si>
  <si>
    <t>Maxx Crawford</t>
  </si>
  <si>
    <t>Joani Dotson</t>
  </si>
  <si>
    <t>Megan Ryan</t>
  </si>
  <si>
    <t>Token Via</t>
  </si>
  <si>
    <t>LaBrisa Williams</t>
  </si>
  <si>
    <t>Lacey Taylor</t>
  </si>
  <si>
    <t>Hannah Arnaud</t>
  </si>
  <si>
    <t>Sam Davidson</t>
  </si>
  <si>
    <t>2017-2018</t>
  </si>
  <si>
    <t>Hemphill</t>
  </si>
  <si>
    <t>Carly Putnam</t>
  </si>
  <si>
    <t>Josh Rich</t>
  </si>
  <si>
    <t>Kenton Grant</t>
  </si>
  <si>
    <t>Elisabeth Baluh</t>
  </si>
  <si>
    <t>Sarah Seekins</t>
  </si>
  <si>
    <t>Jujuu</t>
  </si>
  <si>
    <t>Karina Buvalik</t>
  </si>
  <si>
    <t>Taylor Lee</t>
  </si>
  <si>
    <t>Evelyn Junco</t>
  </si>
  <si>
    <t>Jesse Kreiner</t>
  </si>
  <si>
    <t>True U</t>
  </si>
  <si>
    <t>Sara Low</t>
  </si>
  <si>
    <t>Sean Rose</t>
  </si>
  <si>
    <t>Michael Sweeney</t>
  </si>
  <si>
    <t>2018-2019</t>
  </si>
  <si>
    <t>Digital Surgical</t>
  </si>
  <si>
    <t>Pay for Success</t>
  </si>
  <si>
    <t>Leah Clemenson</t>
  </si>
  <si>
    <t>Jacquelyn Walsh</t>
  </si>
  <si>
    <t>Shawn Hohendorf</t>
  </si>
  <si>
    <t>Kaitlie Holland</t>
  </si>
  <si>
    <t>Teaching &amp; Leading Initiative of Oklahoma</t>
  </si>
  <si>
    <t>Lydia Leslie</t>
  </si>
  <si>
    <t>Morgan Martin</t>
  </si>
  <si>
    <t>Noah Roberts</t>
  </si>
  <si>
    <t>Tyler White</t>
  </si>
  <si>
    <t>Veterans Park Project</t>
  </si>
  <si>
    <t>Eugenia Chow</t>
  </si>
  <si>
    <t>Michelle Ondak</t>
  </si>
  <si>
    <t>Wesley Rose</t>
  </si>
  <si>
    <t>Miriam Boone</t>
  </si>
  <si>
    <t>2019-2020</t>
  </si>
  <si>
    <t>Hope Research Center</t>
  </si>
  <si>
    <t>Rachel Frazer</t>
  </si>
  <si>
    <t>Evan Lee</t>
  </si>
  <si>
    <t>Mariam Conley</t>
  </si>
  <si>
    <t>DJ Mercer</t>
  </si>
  <si>
    <t>Tyler Espinosa</t>
  </si>
  <si>
    <t>Sara Lowe</t>
  </si>
  <si>
    <t>OKC National Memorial &amp; Museum</t>
  </si>
  <si>
    <t>Quin Moring</t>
  </si>
  <si>
    <t>Sharayah Fore</t>
  </si>
  <si>
    <t>Zach Sumner</t>
  </si>
  <si>
    <t>Evan Fay</t>
  </si>
  <si>
    <t>Leslie Crissup</t>
  </si>
  <si>
    <t>Kari Watkins</t>
  </si>
  <si>
    <t>OU Culinary Medicine</t>
  </si>
  <si>
    <t>Mikayla Darden</t>
  </si>
  <si>
    <t>Sharrie Sherrick</t>
  </si>
  <si>
    <t>Sustainable Tulsa</t>
  </si>
  <si>
    <t>Carter Wright</t>
  </si>
  <si>
    <t>Megan O'Neal</t>
  </si>
  <si>
    <t>Morgan Fehrle</t>
  </si>
  <si>
    <t>Spencer Mitchell</t>
  </si>
  <si>
    <t>Greg Douglas</t>
  </si>
  <si>
    <t>Urban Land Institute</t>
  </si>
  <si>
    <t>Chelsi Dennis</t>
  </si>
  <si>
    <t>Clay Dobbins</t>
  </si>
  <si>
    <t>Rachel Magann Faivre</t>
  </si>
  <si>
    <t>Nikki Sharber</t>
  </si>
  <si>
    <t>Ian Weston</t>
  </si>
  <si>
    <t>2020-2021</t>
  </si>
  <si>
    <t>Black Tech Street</t>
  </si>
  <si>
    <t>John Horton</t>
  </si>
  <si>
    <t>Matt Crow</t>
  </si>
  <si>
    <t>Nneka Brown</t>
  </si>
  <si>
    <t>Dovetail</t>
  </si>
  <si>
    <t>Brooke Massengill</t>
  </si>
  <si>
    <t>Zach Maggia</t>
  </si>
  <si>
    <t>Sarah Kelly</t>
  </si>
  <si>
    <t>Grant McClendon</t>
  </si>
  <si>
    <t>Purse Power</t>
  </si>
  <si>
    <t>Emilee Taylor</t>
  </si>
  <si>
    <t>Evalynn Rosado</t>
  </si>
  <si>
    <t>Mariam Mamah</t>
  </si>
  <si>
    <t>Waytable</t>
  </si>
  <si>
    <t>Abbie Vaughan</t>
  </si>
  <si>
    <t>Shelby Schaefer</t>
  </si>
  <si>
    <t>Emma Morris</t>
  </si>
  <si>
    <t>Breann Miller</t>
  </si>
  <si>
    <t>2021-2022</t>
  </si>
  <si>
    <t>ASH Hearing Care</t>
  </si>
  <si>
    <t>Mickayla Dobbins</t>
  </si>
  <si>
    <t>Aubrie Bowlan</t>
  </si>
  <si>
    <t>Kyle Neff</t>
  </si>
  <si>
    <t>Center for Employment Opportunities</t>
  </si>
  <si>
    <t>Naomi Kahn</t>
  </si>
  <si>
    <t>Reese Fagan</t>
  </si>
  <si>
    <t>Christina Siemens</t>
  </si>
  <si>
    <t>Fostering Connections</t>
  </si>
  <si>
    <t>Craig Wann</t>
  </si>
  <si>
    <t>Joe Young</t>
  </si>
  <si>
    <t>Jordan Lusnak</t>
  </si>
  <si>
    <t>Katie Sawicki</t>
  </si>
  <si>
    <t>This Machine</t>
  </si>
  <si>
    <t>Kieran May</t>
  </si>
  <si>
    <t>Nikki Jolly</t>
  </si>
  <si>
    <t>Bridges</t>
  </si>
  <si>
    <t>Karie Jordan</t>
  </si>
  <si>
    <t>Bayonia Marshall</t>
  </si>
  <si>
    <t>Go Baynanas</t>
  </si>
  <si>
    <t>Emily Harden</t>
  </si>
  <si>
    <t>Techlahoma</t>
  </si>
  <si>
    <t>Amnoni Myers</t>
  </si>
  <si>
    <t>Launch Ahead</t>
  </si>
  <si>
    <t>Alexex Rodriguez</t>
  </si>
  <si>
    <t>Personal Project</t>
  </si>
  <si>
    <t>Bria Francisco</t>
  </si>
  <si>
    <t>Collective Impact</t>
  </si>
  <si>
    <t>Kristina Ellis</t>
  </si>
  <si>
    <t>Crosstown Tulsa</t>
  </si>
  <si>
    <t>Tami Paddock</t>
  </si>
  <si>
    <t>Sandra Tolliver</t>
  </si>
  <si>
    <t>Human First, Law Second</t>
  </si>
  <si>
    <t>Ifeoma Okoro</t>
  </si>
  <si>
    <t>Posure Network</t>
  </si>
  <si>
    <t>Janna Smith</t>
  </si>
  <si>
    <t>Phiwa Langeni</t>
  </si>
  <si>
    <t>Theo-Bytes</t>
  </si>
  <si>
    <t>Vera Burgess</t>
  </si>
  <si>
    <t>American Dream Center</t>
  </si>
  <si>
    <t>Deja White</t>
  </si>
  <si>
    <t>Breakroom Buddha</t>
  </si>
  <si>
    <t>Hieu Le</t>
  </si>
  <si>
    <t>Empower-Ed</t>
  </si>
  <si>
    <t>Jameelah Stuckey</t>
  </si>
  <si>
    <t>Nesha Brown</t>
  </si>
  <si>
    <t>Stacy Thomas</t>
  </si>
  <si>
    <t>LaToya Larkin</t>
  </si>
  <si>
    <t>Black Girl Tamales</t>
  </si>
  <si>
    <t>Blaine Ottman</t>
  </si>
  <si>
    <t>City Shade</t>
  </si>
  <si>
    <t>Malayna Hasmanis</t>
  </si>
  <si>
    <t>NAMI Tulsa</t>
  </si>
  <si>
    <t>Mitch Drummond</t>
  </si>
  <si>
    <t>Activate Oklahoma</t>
  </si>
  <si>
    <t>Natty Watson</t>
  </si>
  <si>
    <t>Laura Mills</t>
  </si>
  <si>
    <t>Action Steps Counseling</t>
  </si>
  <si>
    <t>Lollie Moore</t>
  </si>
  <si>
    <t>Unicorn Agency</t>
  </si>
  <si>
    <t>Sharika Kellogg</t>
  </si>
  <si>
    <t>Foster Care</t>
  </si>
  <si>
    <t>Summer 2020</t>
  </si>
  <si>
    <t>Summer 2021</t>
  </si>
  <si>
    <t>Summer 2022</t>
  </si>
  <si>
    <t>Summer 2023</t>
  </si>
  <si>
    <t>Summer 2024</t>
  </si>
  <si>
    <t>Summer 2025</t>
  </si>
  <si>
    <t>Spring 2024</t>
  </si>
  <si>
    <t>SoBA (Developers)</t>
  </si>
  <si>
    <t>SocEnt</t>
  </si>
  <si>
    <t>Fall 2024</t>
  </si>
  <si>
    <t>Spring 2025</t>
  </si>
  <si>
    <t>Fall 2025</t>
  </si>
  <si>
    <t>Jr. Fellow</t>
  </si>
  <si>
    <t>Missing Info- Fill Gaps</t>
  </si>
  <si>
    <t>Spring 2020</t>
  </si>
  <si>
    <t xml:space="preserve">Fellow </t>
  </si>
  <si>
    <t>Fall 2020</t>
  </si>
  <si>
    <t>SoBA(Developer)</t>
  </si>
  <si>
    <t>SoBA(Business)</t>
  </si>
  <si>
    <t>Spring 2021</t>
  </si>
  <si>
    <t>Energy Team</t>
  </si>
  <si>
    <t>Fall 2021</t>
  </si>
  <si>
    <t>Spring 2022</t>
  </si>
  <si>
    <t>Fall 2022</t>
  </si>
  <si>
    <t>Spring 2023</t>
  </si>
  <si>
    <t>Fall 2023</t>
  </si>
  <si>
    <t>Spring 2016</t>
  </si>
  <si>
    <t>The Mine PM</t>
  </si>
  <si>
    <t>Exec Director</t>
  </si>
  <si>
    <t>Fall 2016</t>
  </si>
  <si>
    <t>Spring 2017</t>
  </si>
  <si>
    <t>Fall 2017</t>
  </si>
  <si>
    <t>Spring 2018</t>
  </si>
  <si>
    <t>O&amp;G</t>
  </si>
  <si>
    <t>Fall 2018</t>
  </si>
  <si>
    <t>Spring 2019</t>
  </si>
  <si>
    <t>Fall 2019</t>
  </si>
  <si>
    <t>Fall 2006</t>
  </si>
  <si>
    <t>Prog. Manager</t>
  </si>
  <si>
    <t>Spring 2007</t>
  </si>
  <si>
    <t>Fall 2007</t>
  </si>
  <si>
    <t>Spring 2008</t>
  </si>
  <si>
    <t>Fall 2008</t>
  </si>
  <si>
    <t>Spring 2009</t>
  </si>
  <si>
    <t>Fall 2009</t>
  </si>
  <si>
    <t>Spring 2010</t>
  </si>
  <si>
    <t>Fall 2010</t>
  </si>
  <si>
    <t>Spring 2011</t>
  </si>
  <si>
    <t>Fall 2011</t>
  </si>
  <si>
    <t>Spring 2012</t>
  </si>
  <si>
    <t>Fall 2012</t>
  </si>
  <si>
    <t>Spring 2013</t>
  </si>
  <si>
    <t>Fall 2013</t>
  </si>
  <si>
    <t>Spring 2014</t>
  </si>
  <si>
    <t>Fall 2014</t>
  </si>
  <si>
    <t>Tulsa Director</t>
  </si>
  <si>
    <t>Spring 2015</t>
  </si>
  <si>
    <t>Fall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</si>
</sst>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color rgb="FF242424"/>
      <name val="Aptos Narrow"/>
      <family val="2"/>
    </font>
    <font>
      <b/>
      <sz val="26"/>
      <color theme="1"/>
      <name val="Aptos Narrow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readingOrder="1"/>
    </xf>
    <xf numFmtId="0" fontId="3" fillId="2" borderId="0" xfId="0" applyFont="1" applyFill="1" applyAlignment="1">
      <alignment readingOrder="1"/>
    </xf>
    <xf numFmtId="0" fontId="3" fillId="0" borderId="0" xfId="0" applyFont="1" applyAlignment="1">
      <alignment wrapText="1" readingOrder="1"/>
    </xf>
    <xf numFmtId="0" fontId="6" fillId="0" borderId="0" xfId="0" applyFont="1"/>
  </cellXfs>
  <cellStyles count="1">
    <cellStyle name="Normal" xfId="0" builtinId="0"/>
  </cellStyles>
  <dxfs count="15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banotto, Claire" id="{B8A460F2-BD0A-4887-82E6-BB6EDBB00DF7}" userId="S::claire.schroepfer@ou.edu::6313da5d-cf95-4f3d-86e3-f0b7da8448a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0.711150578703" createdVersion="8" refreshedVersion="8" minRefreshableVersion="3" recordCount="1356" xr:uid="{C95AA2E2-719B-4146-BF76-AFFC77E74E91}">
  <cacheSource type="worksheet">
    <worksheetSource ref="A1:F1356" sheet="complete 06-26"/>
  </cacheSource>
  <cacheFields count="6">
    <cacheField name="Cohort" numFmtId="0">
      <sharedItems count="39">
        <s v="2006 Fall"/>
        <s v="2007 Spring"/>
        <s v="2007 Fall"/>
        <s v="2008 Spring"/>
        <s v="2008 Fall"/>
        <s v="2009 Spring"/>
        <s v="2009 Fall"/>
        <s v="2010 Spring"/>
        <s v="2010 Fall"/>
        <s v="2011 Spring"/>
        <s v="2011 Fall"/>
        <s v="2012 Spring"/>
        <s v="2012 Fall"/>
        <s v="2013 Spring"/>
        <s v="2013 Fall"/>
        <s v="2014 Spring"/>
        <s v="2014 Fall"/>
        <s v="2015 Spring"/>
        <s v="2015 Fall"/>
        <s v="2016 Spring"/>
        <s v="2016 Fall"/>
        <s v="2017 Spring"/>
        <s v="2017 Fall"/>
        <s v="2018 Spring"/>
        <s v="2018 Fall"/>
        <s v="2019 Spring"/>
        <s v="2019 Fall"/>
        <s v="2020 Spring"/>
        <s v="2020 Fall"/>
        <s v="2021 Spring"/>
        <s v="2021 Fall"/>
        <s v="2022 Spring"/>
        <s v="2022 Fall"/>
        <s v="2023 Spring"/>
        <s v="2023 Fall"/>
        <s v="2024 Spring"/>
        <s v="2024 Fall"/>
        <s v="2025 Spring"/>
        <s v="2025 Fall"/>
      </sharedItems>
    </cacheField>
    <cacheField name="Team" numFmtId="0">
      <sharedItems containsBlank="1" count="20">
        <s v="Team 1"/>
        <s v="Team 2"/>
        <s v="Team 3"/>
        <s v="Staff"/>
        <s v="Team 4"/>
        <s v="Tulsa"/>
        <s v="OFA"/>
        <s v="Team 5"/>
        <s v="Social Entrepreneurship"/>
        <s v="SoBA (Business)"/>
        <s v="SoBA (Developer)"/>
        <s v="CA"/>
        <s v="Agile Product Design"/>
        <s v="Tech Commercialization"/>
        <s v="OKC"/>
        <s v="Oil and Gas"/>
        <s v="Alumni"/>
        <m/>
        <s v="Energy"/>
        <s v="VC"/>
      </sharedItems>
    </cacheField>
    <cacheField name="Full Name" numFmtId="0">
      <sharedItems containsBlank="1" count="912">
        <s v="Jaclyn Stelzer"/>
        <s v="Marjorie Guy"/>
        <s v="Blake Mcguire"/>
        <s v="Rob Kish"/>
        <s v="Ben Stewart"/>
        <s v="Ryan Smith"/>
        <s v="Mariana Barrientos"/>
        <s v="Lindsey Waddell"/>
        <s v="Joseph Wohleber"/>
        <s v="Sasha Down"/>
        <s v="Andy Hill"/>
        <s v="Daniel Pullin"/>
        <s v="Caroline Cochran"/>
        <s v="Tyler Mosmeyer"/>
        <s v="Eddie Coates"/>
        <s v="Jean Carlos Lopez"/>
        <s v="Jay Doyle"/>
        <s v="Brendan Quick"/>
        <s v="Lindyn Kish"/>
        <s v="Brian Van Schoyck"/>
        <s v="Justin Briggs"/>
        <s v="Charles Bright"/>
        <s v="Valerie Myers"/>
        <s v="Bobby Lepak"/>
        <s v="Blaine Pinard"/>
        <s v="Chas Gilmore"/>
        <s v="Tyler Ledlow"/>
        <s v="Amanda Rutherford"/>
        <s v="Travis Webb"/>
        <s v="Felipe Armaza"/>
        <s v="Lauren Haller"/>
        <s v="Killian Naylor"/>
        <s v="Robbie Miller"/>
        <s v="John Woodson"/>
        <s v="William Cunningham"/>
        <s v="Derek Perkins"/>
        <s v="Kim Saylor"/>
        <s v="Chris Shilling"/>
        <s v="Tyler Bolton"/>
        <s v="Laleh Chafi"/>
        <s v="Michael Linville"/>
        <s v="Steven Watts"/>
        <s v="Sam Galoob"/>
        <s v="Amber Edwards"/>
        <s v="Julie Fugate"/>
        <s v="Adam Croom"/>
        <s v="Matt Brown"/>
        <s v="Kristin Barnett"/>
        <s v="Michael Harrison"/>
        <s v="Robert Hefner"/>
        <s v="Michael Sarchet"/>
        <s v="Tracy Cline"/>
        <s v="Matt Colwell"/>
        <s v="Stafford Marquardt"/>
        <s v="Barron Ryan"/>
        <s v="Juan Diego Alonso"/>
        <s v="Ben Ikard"/>
        <s v="Jennifer Johnson"/>
        <s v="David Luu"/>
        <s v="Kris Vermelis"/>
        <s v="Jared Weingartner"/>
        <s v="Ginger Wells"/>
        <s v="Mariana Barrientos Ossio"/>
        <s v="Lindsay Smith"/>
        <s v="Austin Spires"/>
        <s v="Blake Trippet"/>
        <s v="Han Wang"/>
        <s v="Derek Case"/>
        <s v="Hamid Pezeshkian"/>
        <s v="John Rodgers"/>
        <s v="Brittany Ryan"/>
        <s v="Oluwatobi Aborisade"/>
        <s v="John Gawey"/>
        <s v="Jessica Haffener"/>
        <s v="Samantha Ali"/>
        <s v="Austin Slaymaker"/>
        <s v="Lucas Rice"/>
        <s v="Yunfei Li"/>
        <s v="Taylor Potter"/>
        <s v="TJ Moen"/>
        <s v="Ben West"/>
        <s v="Tobi Olusola"/>
        <s v="Vinh Pham"/>
        <s v="Holly Sturdivan"/>
        <s v="Scott Lowe"/>
        <s v="Mimi Nguyen"/>
        <s v="John Reid"/>
        <s v="Ryan O’Meilia"/>
        <s v="Chase Roberts"/>
        <s v="Rouzhou Liao"/>
        <s v="Madison Limbacher"/>
        <s v="Andrew Morris"/>
        <s v="Dana Mohammad-Z."/>
        <s v="Julie Nguyen"/>
        <s v="William Prueitt"/>
        <s v="Amy Goad"/>
        <s v="Jeffrey Stewart"/>
        <s v="Jeff Moore"/>
        <s v="Patrick Luong"/>
        <s v="Samantha Toth"/>
        <s v="Barry Conrad"/>
        <s v="Jay Kumar"/>
        <s v="Jack Randolph"/>
        <s v="Daniel Bailey"/>
        <s v="Virginia Duke"/>
        <s v="Greg Gustafson"/>
        <s v="Frank Lezu"/>
        <s v="Sean Miller"/>
        <s v="Megan Gessouroun"/>
        <s v="Bryce Stubblefield"/>
        <s v="Christiaan Bester"/>
        <s v="Ashley Zumwalt"/>
        <s v="Cole Roberts"/>
        <s v="Ali Khalili"/>
        <s v="Stafford M"/>
        <s v="Dawit Dagnaw"/>
        <s v="Anoopdeep Bal"/>
        <s v="Oliver Li"/>
        <s v="Erin Summersgill"/>
        <s v="Sam Clancy"/>
        <s v="Reneé Selanders"/>
        <s v="Kelsey Johnson"/>
        <s v="David Rice"/>
        <s v="Allen Smith"/>
        <s v="Yemi Harris"/>
        <s v="Kelly Tran"/>
        <s v="Rachel O’Connor"/>
        <s v="Brett Bone"/>
        <s v="Blake Burget"/>
        <s v="Alexandra Valiton"/>
        <s v="Valerie Myers-Christianson"/>
        <s v="Jerod Coker"/>
        <s v="Chloe Doiron"/>
        <s v="Carson Rock"/>
        <s v="Samantha Wong"/>
        <s v="Caitlin Cadieux"/>
        <s v="Evan Defillipis"/>
        <s v="Calvin Nelms"/>
        <s v="Josh Holmes"/>
        <s v="Susana Rodriguez"/>
        <s v="Dhara Sheth"/>
        <s v="Kris Smith"/>
        <s v="Mary Hestilow"/>
        <s v="Robert Free"/>
        <s v="Niki Bray"/>
        <s v="Zach Mason"/>
        <s v="Evan Fry"/>
        <s v="Andi Atkin"/>
        <s v="Rick O’hara"/>
        <s v="Jakob Griffith"/>
        <s v="Nicholas Kovash"/>
        <s v="Andrew Nguyen"/>
        <s v="Adam Ghodratnama"/>
        <s v="Taras Basiuk"/>
        <s v="Sarah Yung"/>
        <s v="Benjamin Hill"/>
        <s v="Jeffrey Moseley"/>
        <s v="Jill Postic"/>
        <s v="Michael Wilkinson"/>
        <s v="Drew Cameron"/>
        <s v="Cale Curtin"/>
        <s v="Linzi Jiang"/>
        <s v="Renoj Varghese"/>
        <s v="Richard Lu"/>
        <s v="Elizabeth Reynolds"/>
        <s v="Qing Zhao"/>
        <s v="Caroline Trump"/>
        <s v="Jared Rader"/>
        <s v="Ravi Teja Bellam"/>
        <s v="Nha Hoang"/>
        <s v="Tyler Nguyen"/>
        <s v="Christella Chavez"/>
        <s v="Sarah Gray"/>
        <s v="Heather Vaughn"/>
        <s v="Julie Bock"/>
        <s v="Allie Kallmann"/>
        <s v="Sam Parrill"/>
        <s v="Andrew Belliveau"/>
        <s v="Muralikrishna Dulla"/>
        <s v="Mahesh Kagitha"/>
        <s v="Joel Maupin"/>
        <s v="Parker Dooly"/>
        <s v="Susan Moring"/>
        <s v="Zach McWilliams"/>
        <s v="Chris Larberg"/>
        <s v="Tiffany Haendel"/>
        <s v="Mubeen Shakir"/>
        <s v="Jeff Rhea"/>
        <s v="Charlotte Lunday"/>
        <s v="Dan Phillips"/>
        <s v="Rebecca Stevenson"/>
        <s v="Tyler Pearson"/>
        <s v="Heather Odle"/>
        <s v="Bhagyashri Darunkar"/>
        <s v="Aniruddha Agharkar"/>
        <s v="Kris Iyer"/>
        <s v="Byron Dale"/>
        <s v="Dillon Carroll"/>
        <s v="Ali Browning"/>
        <s v="Carl Szmutko"/>
        <s v="Ryan Phillips"/>
        <s v="Eleanor Burg"/>
        <s v="J.C. Fischer"/>
        <s v="Zachary Burgess"/>
        <s v="Austin Kipp"/>
        <s v="Ali Hajimirza"/>
        <s v="Alyssa Boutelle"/>
        <s v="Siddhartha V."/>
        <s v="Kevin Hadley"/>
        <s v="Jamie Huber"/>
        <s v="Alex Reisner"/>
        <s v="Sarah Shapiro"/>
        <s v="Nikhita Guntar"/>
        <s v="Lauren McKinney"/>
        <s v="Vishal Gadiya"/>
        <s v="Madeleine Ratcliffe"/>
        <s v="Tim Johnson"/>
        <s v="Nick Aguilera"/>
        <s v="Alex Eggleston"/>
        <s v="Sam Stringer"/>
        <s v="Daniel Meschter"/>
        <s v="Melissa Dang"/>
        <s v="Kirke Suter"/>
        <s v="Adam Avoian"/>
        <s v="Hannah Kellogg"/>
        <s v="Lingzhou Lu"/>
        <s v="Nick Ortiz"/>
        <s v="Nikhil Mutalik"/>
        <s v="Andrew Tierney"/>
        <s v="Lauren Gilbert"/>
        <s v="Robert Byrd"/>
        <s v="Kristin Messerli"/>
        <s v="Lauren Wells"/>
        <s v="Adenike Adewolu"/>
        <s v="Julius Shen"/>
        <s v="Stephen Allred"/>
        <s v="Lauren Abston"/>
        <s v="Sue Ringus"/>
        <s v="Jeremy Littel"/>
        <s v="Meghan Saunders"/>
        <s v="William Lonn"/>
        <s v="Nathan Robertson"/>
        <s v="Egawati Panjet"/>
        <s v="Jillian Taylor"/>
        <s v="Jeffrey Terry"/>
        <s v="Luke Tucker"/>
        <s v="Shelby Vanhooser"/>
        <s v="Nick Sparks"/>
        <s v="Matthew Stangl"/>
        <s v="Jeff Bissinger"/>
        <s v="David Driskill"/>
        <s v="Lucy Mahaffey"/>
        <s v="Devon Triebold"/>
        <s v="Andrew Stewart"/>
        <s v="Ethan van Meter"/>
        <s v="Michael Petri"/>
        <s v="Bryce Hermsen"/>
        <s v="Cole Jackson"/>
        <s v="Tahira Taqi"/>
        <s v="John Warden"/>
        <s v="Allie Grantham"/>
        <s v="Wagnon Rhonda"/>
        <s v="Sivakumar Sai"/>
        <s v="Carissa Curtis"/>
        <s v="Melissa Kunz"/>
        <s v="Prasad Kuppurangan"/>
        <s v="Stephen Elias"/>
        <s v="Frank Frantz"/>
        <s v="Rita Rush"/>
        <s v="Mckenna Beard"/>
        <s v="Julia Wynn"/>
        <s v="Allen Yen"/>
        <s v="Jake DiNucci"/>
        <s v="Catherine Thomas"/>
        <s v="Samuel Chinchilla"/>
        <s v="Rui Zhang"/>
        <s v="Megan Nash"/>
        <s v="Joseph Asante"/>
        <s v="Landon Dare"/>
        <s v="Ana Mohammad-Zadeh"/>
        <s v="Bradley Hulme"/>
        <s v="Kiersten Strachan"/>
        <s v="Adam Brobson"/>
        <s v="Jane Hsi"/>
        <s v="Daniel Cartwright"/>
        <s v="Katie Vanchiere"/>
        <s v="Meghan Gallagher"/>
        <s v="Derrick Jones"/>
        <s v="Patrick Stevens"/>
        <s v="Rannyu Ngoran"/>
        <s v="Jon Schick"/>
        <s v="Lexi Brackett"/>
        <s v="Kyle Smith"/>
        <s v="Nyika Wilmore"/>
        <s v="Chelsea McCay"/>
        <s v="Shweta Bhosale"/>
        <s v="Jayme  Hunt"/>
        <s v="Mackenzie Shipp"/>
        <s v="Aric Kampschaefer"/>
        <s v="Krishna Manohar"/>
        <s v="Matt Woods"/>
        <s v="Arlette Rojano"/>
        <s v="Kevin Dunham"/>
        <s v="Jared Bond"/>
        <s v="Kevin Reimnitz"/>
        <s v="Cody Crow"/>
        <s v="Jeremy Allen"/>
        <s v="Benjamin Acker"/>
        <s v="Brittany Ribble"/>
        <s v="Lena Erickson"/>
        <s v="Mariah Butler"/>
        <s v="Nick Estes"/>
        <s v="Cici Zhou"/>
        <s v="Cooper Lund"/>
        <s v="Asheema Pruthi"/>
        <s v="Nikita Hussain"/>
        <s v="Cassandra Rigsby"/>
        <s v="Anand Shankar"/>
        <s v="Paul Abbey"/>
        <s v="Jayme Hunt"/>
        <s v="Matthew Warner"/>
        <s v="Eli Weathers"/>
        <s v="Joe Nguyen"/>
        <s v="Brad Morrow"/>
        <s v="Derrick Nguyen"/>
        <s v="Drew Walther"/>
        <s v="Joseph Daniels"/>
        <s v="Khaled Jabr"/>
        <s v="Stefan Johanson"/>
        <s v="Jessica Murphree"/>
        <s v="Brian Neldon"/>
        <s v="Daniel Moses"/>
        <s v="Kimberly Ughamadu"/>
        <s v="Patrick Richardson"/>
        <s v="Briek Pauwels"/>
        <s v="Archaela Jordan"/>
        <s v="Savannah Ames"/>
        <s v="Hailey Powell"/>
        <s v="Alexander Van Noord"/>
        <s v="Alexandra Smith"/>
        <s v="Stephanie Vo"/>
        <s v="Jack Dastugue"/>
        <s v="Cassie Holmes"/>
        <s v="Alyssa Peterson"/>
        <s v="Daniel Sperle"/>
        <s v="Holly Crawford"/>
        <s v="Joshua Franzen"/>
        <s v="Bailey Wilton"/>
        <s v="Maya Sykes"/>
        <s v="Brett Fene"/>
        <s v="Ben Ignac"/>
        <s v="Lexi Jovanovic"/>
        <s v="Chisom Ibekwe"/>
        <s v="Blake Tinkle"/>
        <s v="Nelisiwe Mtembu"/>
        <s v="Brent Janss"/>
        <s v="Christna Wu"/>
        <s v="Robert Bellafiore"/>
        <s v="Angela Chang"/>
        <s v="Dalton Kern"/>
        <s v="Q Nguyen"/>
        <s v="Min Xiao"/>
        <s v="Bryan Capps"/>
        <s v="Yi Guo"/>
        <s v="Jake Manning"/>
        <s v="Dalton Wood"/>
        <s v="Amanda Ahadizadeh"/>
        <s v="Sean Templemore-Finlayson"/>
        <s v="Amanah Fatima"/>
        <s v="Michael Rath"/>
        <s v="Mckenna Bear"/>
        <s v="Tonci Maleta"/>
        <s v="Trenton Hamm"/>
        <s v="Evan White"/>
        <s v="David Doshier"/>
        <s v="Benhail Muthyala"/>
        <s v="Annie Pham"/>
        <s v="Ronald Smith"/>
        <s v="Piper Wolfe"/>
        <s v="Rebecca Butcher"/>
        <s v="Jamie Franzese"/>
        <s v="Josh Imbriani"/>
        <s v="Hayden Padgett"/>
        <s v="Landon Wright"/>
        <s v="Harrison House"/>
        <s v="Kendon McGehee"/>
        <s v="Carly Norwood"/>
        <s v="Maricela Avila"/>
        <s v="Sean Christiansen"/>
        <s v="Alexander Stubblefield"/>
        <s v="Rijutha Garimella"/>
        <s v="Andrew Moore"/>
        <s v="Suparshva Parikh"/>
        <s v="Sarah Whitney"/>
        <s v="Sam Baskin"/>
        <s v="Kevin Gaffney"/>
        <s v="Bailey Hollingsworth"/>
        <s v="Charlie Liu"/>
        <s v="Matthew Allan"/>
        <s v="Courtney Duckett"/>
        <s v="Joan Kirungi"/>
        <s v="Mario Perez"/>
        <s v="Stephanie Prado"/>
        <s v="Morgan Gilsinger"/>
        <s v="Umair Hashmi"/>
        <s v="Jennifer Lyn"/>
        <s v="Salome Pinto"/>
        <s v="Hannah Ralston"/>
        <s v="Mculu Dlamini"/>
        <s v="Ivey Dyson"/>
        <s v="Trae Havens"/>
        <s v="Stella Huynh"/>
        <s v="Samuel Bagaason"/>
        <s v="Clayton Bradshaw"/>
        <s v="Matthew Mullins"/>
        <s v="Daniel O'Conner"/>
        <s v="Alec Armer"/>
        <s v="Grace Bouziden"/>
        <s v="Juliana France"/>
        <s v="Connor Moore"/>
        <s v="Miles Burnett"/>
        <s v="Joseph Dal Santo"/>
        <s v="Zach Schuermann"/>
        <s v="Trenton Turner"/>
        <s v="Blake Saylor"/>
        <s v="Justin Potts"/>
        <s v="Husayn Ramji"/>
        <s v="EB McCready"/>
        <s v="Nick Graham"/>
        <s v="Dragon Tran"/>
        <s v="Andrew Shaffer"/>
        <s v="Valerie Pham"/>
        <s v="Jennifer Lynn"/>
        <s v="Kate Duethman"/>
        <s v="Varun Gupta"/>
        <s v="Vanessa Garcia"/>
        <s v="Jonathon Weber-Mendez"/>
        <s v="Tami Alabi"/>
        <s v="Hannah Grillot"/>
        <s v="Haley Rader"/>
        <s v="Mattie Witman"/>
        <s v="Jarrett Ferguson"/>
        <s v="Taylor Finley"/>
        <s v="Calla Hamlin"/>
        <s v="Timothy Sheridan"/>
        <s v="Lane Callaghan"/>
        <s v="Antonella Carranco"/>
        <s v="Daniela Cooper"/>
        <s v="Steffani Silva"/>
        <s v="Vesela Massaro"/>
        <s v="Qiang Pan"/>
        <s v="Catherine Ha"/>
        <s v="Simon Zu"/>
        <s v="Elizabeth Greer"/>
        <s v="Morgan Nash"/>
        <s v="Rahma Osman"/>
        <s v="Soham Pandya"/>
        <s v="Matt Allan"/>
        <s v="Lindsey Cox"/>
        <s v="Grace Le"/>
        <s v="Qianny Lu"/>
        <s v="Shepherd Matsongoni"/>
        <s v="Douglas Yancy"/>
        <s v="Shruti Bothe"/>
        <s v="Emily Ingram"/>
        <s v="Amanda Maxwell"/>
        <s v="Sean Eldridge"/>
        <s v="Benjamin Frempah"/>
        <s v="Jimmy Manyanga"/>
        <s v="Betsy Waller"/>
        <s v="Tyler Gatewood"/>
        <s v="Jessice James"/>
        <s v="Allecia Jones"/>
        <s v="Marija Primorac"/>
        <s v="Jordan Burdick"/>
        <s v="Ryleigh Navert"/>
        <s v="Collin Owen"/>
        <s v="Samuel Quick"/>
        <s v="Jordan D'Silva"/>
        <s v="Emma Greene"/>
        <s v="Molungoa Ramataboe"/>
        <s v="Tanner Satterthwaite"/>
        <s v="Valeria Pham"/>
        <s v="Cody Degner"/>
        <s v="Michael Fedell"/>
        <s v="Wenhua Wang"/>
        <s v="Lihua Zhao"/>
        <s v="Christopher Carter"/>
        <s v="Christina Nguyen"/>
        <s v="Jack Sparks"/>
        <s v="Eunhee Tark"/>
        <s v="Saurabh Agarwal"/>
        <s v="Sheila Gerardo"/>
        <s v="Jackson Spencer"/>
        <s v="Abigail Baukus"/>
        <s v="Moises Martinez"/>
        <s v="Orhan Roksa"/>
        <s v="Musa Sukati"/>
        <s v="Regan Bolding"/>
        <s v="Rachel Davis"/>
        <s v="Mark Ray"/>
        <s v="Dan Sloat"/>
        <s v="Beulah Adigun"/>
        <s v="Brittany Wheeler"/>
        <s v="Jessica James"/>
        <s v="Greta Fiedler"/>
        <s v="Wendy Han"/>
        <s v="Axel DQMR"/>
        <s v="Wesley Zhang"/>
        <s v="Christa Holland"/>
        <s v="Orin Imtiaz"/>
        <s v="Temidepelayo Ojekunle"/>
        <s v="Sergio Gomez"/>
        <s v="Andrea Inacio"/>
        <s v="John Roff"/>
        <s v="Shadi Salahshoor"/>
        <s v="Ben Cooper"/>
        <s v="Alex Hayes"/>
        <s v="Ope Odejimi"/>
        <s v="Emily Sharp"/>
        <s v="Annie Coffey"/>
        <s v="Kyle Fronckiewics"/>
        <s v="Sona Nuguri"/>
        <s v="Aaron Snodell"/>
        <s v="Austin Coffey"/>
        <s v="Tony Efoli"/>
        <s v="Crystal Gillette"/>
        <s v="Sebastian Tippett"/>
        <s v="Mengrui Luo"/>
        <s v="Naveen Kumar Penki"/>
        <s v="Timo Sheridan"/>
        <s v="Delano Usiukiewicz"/>
        <s v="Richard Yang"/>
        <s v="Hannah Bladen"/>
        <s v="Kaitlin Lutz"/>
        <s v="Jourdan Srouji"/>
        <s v="Reid Grimes"/>
        <s v="Catherine Hyland"/>
        <s v="Lindey Nguyen"/>
        <s v="?Abbey Marino?"/>
        <s v="Kara Howse"/>
        <s v="Kelsey Ladenburger"/>
        <s v="Katie Urey-Wing"/>
        <s v="Abbey Marino"/>
        <s v="Greta Fielder"/>
        <s v="Younji Sohn"/>
        <s v="Brian Phillips"/>
        <s v="April Nguyen"/>
        <s v="Chase Bonar"/>
        <s v="Nikiel Kim"/>
        <s v="Keith Nutter"/>
        <s v="Mary Vu"/>
        <s v="Platin Iradukanda"/>
        <s v="Ducha Hapsari"/>
        <s v="Antonio Manuel"/>
        <s v="Millet Gilmore"/>
        <s v="Dorothy Lam"/>
        <s v="Jacob Moser"/>
        <s v="Jordan Zimmerman"/>
        <s v="Alan Lee"/>
        <s v="Amy Le"/>
        <s v="James Martindale"/>
        <s v="John Tran"/>
        <s v="Michael Asanta"/>
        <s v="Zachary Coronado"/>
        <s v="Gary Sefah"/>
        <s v="Alex Zhang"/>
        <s v="Souwelimatou Amadou Amani"/>
        <s v="Kate Byrne"/>
        <s v="Micah Gillezeau"/>
        <s v="Angel Giron"/>
        <s v="Marvin Manalastas"/>
        <s v="Andrea Pemberton"/>
        <s v="Elissa Renberg"/>
        <s v="Caitlin Turner"/>
        <s v="Asmita Baruah"/>
        <s v="Alyssa Campbell"/>
        <s v="Miguel Payan"/>
        <s v="Ermin Kervic"/>
        <s v="Emily Black"/>
        <s v="Zainab Sandhu"/>
        <s v="Alex Parsells"/>
        <s v="Richard Holt"/>
        <s v="Eva Sparks"/>
        <s v="Cale Powers"/>
        <s v="Leo Chiu"/>
        <s v="Austin Parker"/>
        <s v="Eddy Alfaro Cordoba"/>
        <s v="Kendall Prather"/>
        <s v="Dean Goodrich"/>
        <s v="Pranoy Behera"/>
        <s v="Kaylee Kimbrough"/>
        <s v="Minori Matsuzawa"/>
        <s v="Paula Tran"/>
        <s v="Srisima Kondapaneni"/>
        <s v="Chan Lakamsani"/>
        <s v="Shiqiao Wang"/>
        <s v="Anna Young"/>
        <s v="Atul Abraham Muttencherry"/>
        <s v="Trevor Shofner"/>
        <s v="Younes Rebbaj"/>
        <s v="Frank Whittier"/>
        <s v="Whitney Cipolla"/>
        <s v="Charles John"/>
        <s v="Sherrie Sherrick"/>
        <s v="Brittanie Whitney"/>
        <s v="Mohammad Alwadhanee"/>
        <s v="Sifiso Ginindza"/>
        <s v="Azmayn Inkishaf"/>
        <s v="Lindsey Randall"/>
        <s v="Drew Yamashita"/>
        <s v="Rachel Lobaugh"/>
        <s v="Colt Bennett"/>
        <s v="H. Pike"/>
        <s v="Sabrina Vivar"/>
        <s v="Chandler Doudican"/>
        <s v="Qais Al Magbali"/>
        <s v="Laura Bertran"/>
        <s v="Austin Chan"/>
        <s v="Ali Al Khayer"/>
        <s v="Jules Philippe Sy"/>
        <s v="Andrew Elaryan"/>
        <s v="Chanukya Lakamsani"/>
        <s v="Sai Maryada"/>
        <m/>
        <s v="Vy Dinh"/>
        <s v="Mitchelle Katemauswa"/>
        <s v="Filipa Carvalho"/>
        <s v="Eduardo Campbell"/>
        <s v="Theresa Nguyen"/>
        <s v="Dan Nyagol"/>
        <s v="Veli Shabangu"/>
        <s v="Javier Alejandra Chaves"/>
        <s v="Cutter Molly"/>
        <s v="Kosco Elizabeth"/>
        <s v="Peace Mojekwu"/>
        <s v="Qais Al Muqbali"/>
        <s v="Siva Ganta"/>
        <s v="Nithivarn Shanigaram"/>
        <s v="Sanjana Mudduluru"/>
        <s v="Maleah Willis"/>
        <s v="Ismael Carmona Casado"/>
        <s v="Talia Dean"/>
        <s v="Tiphelele Dlamini"/>
        <s v="Zama Magagula"/>
        <s v="Richard Papenfus"/>
        <s v="Kelen Caskey"/>
        <s v="Thando Mpofu"/>
        <s v="Isabelle Swanson"/>
        <s v="Claire Sbanotto"/>
        <s v="Merima Hasic"/>
        <s v="Seth Long"/>
        <s v="Preetha Thanunathan"/>
        <s v="Seaphi Molise"/>
        <s v="Harsh Patel"/>
        <s v="Dilina Abudurexiti"/>
        <s v="Emma Biskup"/>
        <s v="Joy Nath"/>
        <s v="Kate Wheeler"/>
        <s v="Haydn Hoffman"/>
        <s v="Abhigna Reddy"/>
        <s v="Arjun Ganesan"/>
        <s v="Ji Ni"/>
        <s v="Nilam Reshim"/>
        <s v="Aida Sertovic"/>
        <s v="Corona Anderson"/>
        <s v="Kristina Aleksanyan"/>
        <s v="Owen Lusky"/>
        <s v="Racheal Davis"/>
        <s v="Eric Enyong"/>
        <s v="Logesvar Balaguru"/>
        <s v="Thuwaiba Al Wahaibi"/>
        <s v="Nurlan Atauollin"/>
        <s v="Berri Tamfu"/>
        <s v="Jared Isaacson"/>
        <s v="Michael Asante"/>
        <s v="Claire Spanotto"/>
        <s v="Preetha Thanu"/>
        <s v="Edita Pipic"/>
        <s v="Michael Williams"/>
        <s v="Patric Oketcho"/>
        <s v="Vivek Patel"/>
        <s v="Jessica Winkler"/>
        <s v="Wijdan Al-Jabri"/>
        <s v="Shivam Patel"/>
        <s v="Tobe Anyaezu"/>
        <s v="Kevin Sheppard"/>
        <s v="Irene Georgestone"/>
        <s v="Suraj Patel"/>
        <s v="Isaac Trachtenberg"/>
        <s v="Stuart Yamashita"/>
        <s v="Kofi Gyening"/>
        <s v="Austin Rhines"/>
        <s v="Zareen Khan"/>
        <s v="Sarah Eltell"/>
        <s v="Ruiqi Wei"/>
        <s v="Sumaya Sandhu"/>
        <s v="Marcos Bernier"/>
        <s v="Addie Kammerlocher"/>
        <s v="Edward Reali"/>
        <s v="Rabiea Abo Taha"/>
        <s v="Benjamin Xia"/>
        <s v="Jennifer Burrows"/>
        <s v="Siri Nuguri"/>
        <s v="Tanaka Ngwanga"/>
        <s v="Oyin Obisesan"/>
        <s v="Prakhyat Reddy"/>
        <s v="Jessica Hooper"/>
        <s v="Casey Seale"/>
        <s v="Prince Oburoni-Ayeh"/>
        <s v="Peyton Nealis"/>
        <s v="Jesse Blackledge"/>
        <s v="Anthony Immenshuh"/>
        <s v="Makya Stell"/>
        <s v="Ted Xiong"/>
        <s v="Kirabo Banya"/>
        <s v="Maduo Dijeng"/>
        <s v="Averie Gibbins"/>
        <s v="Jonathan Hendrix"/>
        <s v="Muhammad Riaz"/>
        <s v="Reety Erwin"/>
        <s v="Bujana Allushi"/>
        <s v="Fiifi Neizer-Ashun"/>
        <s v="John Noel"/>
        <s v="Nondumiso Mndzeblel"/>
        <s v="Christabel Afari-Acquah"/>
        <s v="Andrew L. Brown"/>
        <s v="Fabio Santini Bianco"/>
        <s v="Peter K. S. Amprako"/>
        <s v="Vinh D. Nguyen"/>
        <s v="Chinedu Candidus Nsude"/>
        <s v="Jakob Paugh"/>
        <s v="Mercy Ndagire"/>
        <s v="Shubhashree Sathe"/>
        <s v="Jon Hendrix"/>
        <s v="Donald Albers"/>
        <s v="Erica Miller"/>
        <s v="Zuyyin Izza Mohamed Shiraj"/>
        <s v="Faith Ferrell"/>
        <s v="Jack DeLester"/>
        <s v="Sophie Miller"/>
        <s v="Jonathan Dumar"/>
        <s v="Jonah Barth"/>
        <s v="Maya Stell"/>
        <s v="Karan Peo"/>
        <s v="Fazil Raja"/>
        <s v="Tina Nguyen"/>
        <s v="Nima Shadaram"/>
        <s v="Willie Zeng"/>
        <s v="Coulson Gannaway"/>
        <s v="Fifi Neizer-Ashun"/>
        <s v="Aaron Salazar Latham"/>
        <s v="Hadassah Terry"/>
        <s v="Hawaou Elhadji Abdou"/>
        <s v="Kadon Le"/>
        <s v="Lincoln Wright"/>
        <s v="Surya Kapoor"/>
        <s v="Abdulamid Fakoya"/>
        <s v="Melanie Brusnahan"/>
        <s v="Luke Hamilton"/>
        <s v="Derrick Bowen"/>
        <s v="Abdallah Al Balushi"/>
        <s v="Juardon Neal"/>
        <s v="Rachelle Richmond"/>
        <s v="Kingsley Uzogor"/>
        <s v="Blake Winchester"/>
        <s v="Luka Jercic"/>
        <s v="Brandon Kieu"/>
        <s v="Prisca Mbainayel"/>
        <s v="Maria Doan"/>
        <s v="Jamshed Karimnazarov"/>
        <s v="Rebekah Lee"/>
        <s v="Stephen Song"/>
        <s v="Ahmed Abdelaziz"/>
        <s v="Dieakololaoluwa Adebakin"/>
        <s v="Daniel Jackson"/>
        <s v="Mona Salem"/>
        <s v="Nishant Ahlawat"/>
        <s v="Aaron Salazar"/>
        <s v="Ashlyn Darter"/>
        <s v="Peter Amprako"/>
        <s v="Bonkhe Magongo"/>
        <s v="Celine Polepole"/>
        <s v="Kamso Nwafor"/>
        <s v="Adesh Bhor"/>
        <s v="Luke Jung"/>
        <s v="Diekololaoluwa"/>
        <s v="Caitlin Cotteler"/>
        <s v="Sarah Cate Lay"/>
        <s v="Sunny Wickramasinghe"/>
        <s v="Trace Tuthill"/>
        <s v="Oluwademilade Jooda"/>
        <s v="Jennifer Lubwama"/>
        <s v="Vineet Madur"/>
        <s v="Martin Gonzalez"/>
        <s v="Justyna Luczak"/>
        <s v="Martha Tsaliki"/>
        <s v="Tadiwa Mugwadi"/>
        <s v="Michael Papenfus"/>
        <s v="Luke Portman"/>
        <s v="Cecilia Pham"/>
        <s v="Teddy Diallo"/>
        <s v="Baseer Khan"/>
        <s v="Kashaf Mujeeb"/>
        <s v="Claire Nguyen"/>
        <s v="Adam Holton"/>
        <s v="Thea Massi"/>
        <s v="Marcus Uhlig"/>
        <s v="Madison Hemenway"/>
        <s v="Ameer Ghazal"/>
        <s v="Kristiana Karshelieva"/>
        <s v="Blake Lee"/>
        <s v="Emma Stubby"/>
        <s v="Daniel Yowell"/>
        <s v="Caitlin Cotteleer"/>
        <s v="Wesley Bruce"/>
        <s v="Gavin Nation"/>
        <s v="Efe Poyraz"/>
        <s v="Himanshu Atwal"/>
        <s v="Stephanie Uribe"/>
        <s v="Muriel Kroflin"/>
        <s v="Chris Ortiz"/>
        <s v="Kaile Mulimba"/>
        <s v="Roshan Rai"/>
        <s v="Pierce Hudgens"/>
        <s v="Sofia Torres"/>
        <s v="Sanam Kumar"/>
        <s v="Samantha Hepburn"/>
        <s v="Marjan Maro Zovko"/>
        <s v="Nifemi Bonou"/>
        <s v="Yvette Ingabire"/>
        <s v="Vera Muco"/>
        <s v="Michael Hauge"/>
        <s v="Kristina Soboleva"/>
        <s v="Adarsh Udassi"/>
        <s v="Eniola Adewunmi"/>
        <s v="Katherine Fox"/>
        <s v="Jake Dyke"/>
        <s v="Andrew Haskell"/>
        <s v="Abdulamid Fakoye"/>
        <s v="Demi Jooda"/>
        <s v="Justyna Lukczak"/>
        <s v="Akel Sozudogru"/>
        <s v="Rajeev Kumar"/>
        <s v="Anany Gupta"/>
        <s v="Paul Gariy"/>
        <s v="Alexis Kituuka"/>
        <s v="Cal Smith"/>
        <s v="Martín Bruno"/>
        <s v="Najib Saleh"/>
        <s v="Abby Brunnert"/>
        <s v="Devyn Newman"/>
        <s v="Raeed Zainuddin"/>
        <s v="Agya Gaaro"/>
        <s v="Kendall Cousins"/>
        <s v="Matthew Anderson"/>
        <s v="Karissa Colombe"/>
        <s v="Jason Meshili"/>
        <s v="Baylor Savage"/>
        <s v="Nicolas Cordova Velasco"/>
        <s v="Elian Tan Huynh"/>
        <s v="Madison Milan"/>
        <s v="Shahadat Hossain"/>
        <s v="Mohamed Abdelnaby"/>
        <s v="Daniel Esambu"/>
        <s v="Hunter Mena"/>
        <s v="Hunter Merrill"/>
        <s v="Tyler Vuong"/>
        <s v="Tanaka Mutumhe"/>
        <s v="Ally Khrais"/>
        <s v="Winnie Du"/>
        <s v="Farzana Tasnim"/>
        <s v="Vanessa Soric Dodig"/>
        <s v="Benilson Sebastiao"/>
        <s v="Caleb Anagnos"/>
        <s v="Chanel Karungi"/>
        <s v="Andipanyasha Mutevedzi"/>
        <s v="Hilbi Nadeem Akbar"/>
        <s v="Modeste Gihozo Rukundo"/>
        <s v="Deepak Jha"/>
        <s v="Anitah Namutebi"/>
        <s v="Christy Culp"/>
        <s v="Mike Dai Liangzhi"/>
        <s v="Anna Faakye"/>
        <s v="Michael Simic"/>
        <s v="Anna Birgitta Nilsson"/>
        <s v="Anoushika Singh"/>
        <s v="Kaivalya Meduri"/>
        <s v="Nelly Komuhendo"/>
        <s v="Diekololaoluwa Adebakin"/>
        <s v="Alina Hemani"/>
        <s v="Bradley Buss"/>
        <s v="Faith Ndeh"/>
        <s v="Neil Luhar"/>
        <s v="Benjamin Tirado"/>
        <s v="Joshua Kam"/>
        <s v="Kazi Priom"/>
        <s v="Oumarou Gouba"/>
        <s v="Sujan Ayyagari"/>
        <s v="Kennedy Corbin"/>
        <s v="Matthew Beyer"/>
        <s v="Reed Brackett"/>
        <s v="Reem Kotaiche"/>
        <s v="Dayln Nguyen"/>
        <s v="Lily Mosisa"/>
        <s v="Maryam Amin"/>
        <s v="Zaid Jasasra"/>
        <s v="Thao Tran"/>
        <s v="Alice Nanyanzi"/>
        <s v="Carl McKinney"/>
        <s v="David Bolade"/>
        <s v="Zach Zvonecek"/>
      </sharedItems>
    </cacheField>
    <cacheField name="Role" numFmtId="0">
      <sharedItems/>
    </cacheField>
    <cacheField name="Project" numFmtId="0">
      <sharedItems containsBlank="1"/>
    </cacheField>
    <cacheField name="Location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6">
  <r>
    <x v="0"/>
    <x v="0"/>
    <x v="0"/>
    <s v="Intern"/>
    <m/>
    <s v="Norman"/>
  </r>
  <r>
    <x v="0"/>
    <x v="0"/>
    <x v="1"/>
    <s v="Intern"/>
    <m/>
    <s v="Norman"/>
  </r>
  <r>
    <x v="0"/>
    <x v="0"/>
    <x v="2"/>
    <s v="Intern"/>
    <m/>
    <s v="Norman"/>
  </r>
  <r>
    <x v="0"/>
    <x v="0"/>
    <x v="3"/>
    <s v="Intern"/>
    <m/>
    <s v="Norman"/>
  </r>
  <r>
    <x v="0"/>
    <x v="1"/>
    <x v="4"/>
    <s v="Intern"/>
    <m/>
    <s v="Norman"/>
  </r>
  <r>
    <x v="0"/>
    <x v="1"/>
    <x v="5"/>
    <s v="Intern"/>
    <m/>
    <s v="Norman"/>
  </r>
  <r>
    <x v="0"/>
    <x v="1"/>
    <x v="6"/>
    <s v="Intern"/>
    <m/>
    <s v="Norman"/>
  </r>
  <r>
    <x v="0"/>
    <x v="2"/>
    <x v="7"/>
    <s v="Intern"/>
    <m/>
    <s v="Norman"/>
  </r>
  <r>
    <x v="0"/>
    <x v="2"/>
    <x v="8"/>
    <s v="Intern"/>
    <m/>
    <s v="Norman"/>
  </r>
  <r>
    <x v="0"/>
    <x v="2"/>
    <x v="9"/>
    <s v="Intern"/>
    <m/>
    <s v="Norman"/>
  </r>
  <r>
    <x v="0"/>
    <x v="2"/>
    <x v="10"/>
    <s v="Intern"/>
    <m/>
    <s v="Norman"/>
  </r>
  <r>
    <x v="0"/>
    <x v="3"/>
    <x v="11"/>
    <s v="Executive Director"/>
    <m/>
    <s v="Norman"/>
  </r>
  <r>
    <x v="0"/>
    <x v="3"/>
    <x v="12"/>
    <s v="Program Manager"/>
    <m/>
    <s v="Norman"/>
  </r>
  <r>
    <x v="1"/>
    <x v="0"/>
    <x v="3"/>
    <s v="Team Lead"/>
    <m/>
    <s v="Norman"/>
  </r>
  <r>
    <x v="1"/>
    <x v="0"/>
    <x v="4"/>
    <s v="Team Lead"/>
    <m/>
    <s v="Norman"/>
  </r>
  <r>
    <x v="1"/>
    <x v="1"/>
    <x v="5"/>
    <s v="Team Lead"/>
    <m/>
    <s v="Norman"/>
  </r>
  <r>
    <x v="1"/>
    <x v="0"/>
    <x v="13"/>
    <s v="Intern"/>
    <m/>
    <s v="Norman"/>
  </r>
  <r>
    <x v="1"/>
    <x v="0"/>
    <x v="14"/>
    <s v="Intern"/>
    <m/>
    <s v="Norman"/>
  </r>
  <r>
    <x v="1"/>
    <x v="0"/>
    <x v="15"/>
    <s v="Intern"/>
    <m/>
    <s v="Norman"/>
  </r>
  <r>
    <x v="1"/>
    <x v="1"/>
    <x v="6"/>
    <s v="Team Lead"/>
    <m/>
    <s v="Norman"/>
  </r>
  <r>
    <x v="1"/>
    <x v="1"/>
    <x v="16"/>
    <s v="Intern"/>
    <m/>
    <s v="Norman"/>
  </r>
  <r>
    <x v="1"/>
    <x v="1"/>
    <x v="17"/>
    <s v="Intern"/>
    <m/>
    <s v="Norman"/>
  </r>
  <r>
    <x v="1"/>
    <x v="1"/>
    <x v="18"/>
    <s v="Intern"/>
    <m/>
    <s v="Norman"/>
  </r>
  <r>
    <x v="1"/>
    <x v="1"/>
    <x v="19"/>
    <s v="Intern"/>
    <m/>
    <s v="Norman"/>
  </r>
  <r>
    <x v="1"/>
    <x v="2"/>
    <x v="9"/>
    <s v="Team Lead"/>
    <m/>
    <s v="Norman"/>
  </r>
  <r>
    <x v="1"/>
    <x v="2"/>
    <x v="20"/>
    <s v="Intern"/>
    <m/>
    <s v="Norman"/>
  </r>
  <r>
    <x v="1"/>
    <x v="2"/>
    <x v="21"/>
    <s v="Intern"/>
    <m/>
    <s v="Norman"/>
  </r>
  <r>
    <x v="1"/>
    <x v="2"/>
    <x v="22"/>
    <s v="Intern"/>
    <m/>
    <s v="Norman"/>
  </r>
  <r>
    <x v="1"/>
    <x v="2"/>
    <x v="23"/>
    <s v="Intern"/>
    <m/>
    <s v="Norman"/>
  </r>
  <r>
    <x v="1"/>
    <x v="3"/>
    <x v="11"/>
    <s v="Executive Director"/>
    <m/>
    <s v="Norman"/>
  </r>
  <r>
    <x v="1"/>
    <x v="3"/>
    <x v="12"/>
    <s v="Program Manager"/>
    <m/>
    <s v="Norman"/>
  </r>
  <r>
    <x v="2"/>
    <x v="0"/>
    <x v="18"/>
    <s v="Team Lead"/>
    <m/>
    <s v="Norman"/>
  </r>
  <r>
    <x v="2"/>
    <x v="0"/>
    <x v="24"/>
    <s v="Intern"/>
    <m/>
    <s v="Norman"/>
  </r>
  <r>
    <x v="2"/>
    <x v="0"/>
    <x v="25"/>
    <s v="Intern"/>
    <m/>
    <s v="Norman"/>
  </r>
  <r>
    <x v="2"/>
    <x v="0"/>
    <x v="26"/>
    <s v="Intern"/>
    <m/>
    <s v="Norman"/>
  </r>
  <r>
    <x v="2"/>
    <x v="0"/>
    <x v="27"/>
    <s v="Intern"/>
    <m/>
    <s v="Norman"/>
  </r>
  <r>
    <x v="2"/>
    <x v="0"/>
    <x v="28"/>
    <s v="Intern"/>
    <m/>
    <s v="Norman"/>
  </r>
  <r>
    <x v="2"/>
    <x v="1"/>
    <x v="20"/>
    <s v="Team Lead"/>
    <m/>
    <s v="Norman"/>
  </r>
  <r>
    <x v="2"/>
    <x v="1"/>
    <x v="29"/>
    <s v="Intern"/>
    <m/>
    <s v="Norman"/>
  </r>
  <r>
    <x v="2"/>
    <x v="1"/>
    <x v="30"/>
    <s v="Intern"/>
    <m/>
    <s v="Norman"/>
  </r>
  <r>
    <x v="2"/>
    <x v="1"/>
    <x v="31"/>
    <s v="Intern"/>
    <m/>
    <s v="Norman"/>
  </r>
  <r>
    <x v="2"/>
    <x v="1"/>
    <x v="32"/>
    <s v="Intern"/>
    <m/>
    <s v="Norman"/>
  </r>
  <r>
    <x v="2"/>
    <x v="2"/>
    <x v="22"/>
    <s v="Team Lead"/>
    <m/>
    <s v="Norman"/>
  </r>
  <r>
    <x v="2"/>
    <x v="2"/>
    <x v="33"/>
    <s v="Intern"/>
    <m/>
    <s v="Norman"/>
  </r>
  <r>
    <x v="2"/>
    <x v="2"/>
    <x v="34"/>
    <s v="Intern"/>
    <m/>
    <s v="Norman"/>
  </r>
  <r>
    <x v="2"/>
    <x v="2"/>
    <x v="35"/>
    <s v="Intern"/>
    <m/>
    <s v="Norman"/>
  </r>
  <r>
    <x v="2"/>
    <x v="2"/>
    <x v="36"/>
    <s v="Intern"/>
    <m/>
    <s v="Norman"/>
  </r>
  <r>
    <x v="2"/>
    <x v="2"/>
    <x v="37"/>
    <s v="Intern"/>
    <m/>
    <s v="Norman"/>
  </r>
  <r>
    <x v="2"/>
    <x v="3"/>
    <x v="11"/>
    <s v="Executive Director"/>
    <m/>
    <s v="Norman"/>
  </r>
  <r>
    <x v="3"/>
    <x v="0"/>
    <x v="24"/>
    <s v="Team Lead"/>
    <m/>
    <s v="Norman"/>
  </r>
  <r>
    <x v="3"/>
    <x v="0"/>
    <x v="38"/>
    <s v="Intern"/>
    <m/>
    <s v="Norman"/>
  </r>
  <r>
    <x v="3"/>
    <x v="0"/>
    <x v="39"/>
    <s v="Intern"/>
    <m/>
    <s v="Norman"/>
  </r>
  <r>
    <x v="3"/>
    <x v="0"/>
    <x v="40"/>
    <s v="Intern"/>
    <m/>
    <s v="Norman"/>
  </r>
  <r>
    <x v="3"/>
    <x v="0"/>
    <x v="41"/>
    <s v="Intern"/>
    <m/>
    <s v="Norman"/>
  </r>
  <r>
    <x v="3"/>
    <x v="1"/>
    <x v="28"/>
    <s v="Team Lead"/>
    <m/>
    <s v="Norman"/>
  </r>
  <r>
    <x v="3"/>
    <x v="1"/>
    <x v="42"/>
    <s v="Intern"/>
    <m/>
    <s v="Norman"/>
  </r>
  <r>
    <x v="3"/>
    <x v="1"/>
    <x v="43"/>
    <s v="Intern"/>
    <m/>
    <s v="Norman"/>
  </r>
  <r>
    <x v="3"/>
    <x v="1"/>
    <x v="44"/>
    <s v="Intern"/>
    <m/>
    <s v="Norman"/>
  </r>
  <r>
    <x v="3"/>
    <x v="1"/>
    <x v="45"/>
    <s v="Intern"/>
    <m/>
    <s v="Norman"/>
  </r>
  <r>
    <x v="3"/>
    <x v="1"/>
    <x v="46"/>
    <s v="Intern"/>
    <m/>
    <s v="Norman"/>
  </r>
  <r>
    <x v="3"/>
    <x v="2"/>
    <x v="37"/>
    <s v="Team Lead"/>
    <m/>
    <s v="Norman"/>
  </r>
  <r>
    <x v="3"/>
    <x v="2"/>
    <x v="47"/>
    <s v="Intern"/>
    <m/>
    <s v="Norman"/>
  </r>
  <r>
    <x v="3"/>
    <x v="2"/>
    <x v="48"/>
    <s v="Intern"/>
    <m/>
    <s v="Norman"/>
  </r>
  <r>
    <x v="3"/>
    <x v="2"/>
    <x v="49"/>
    <s v="Intern"/>
    <m/>
    <s v="Norman"/>
  </r>
  <r>
    <x v="3"/>
    <x v="2"/>
    <x v="50"/>
    <s v="Intern"/>
    <m/>
    <s v="Norman"/>
  </r>
  <r>
    <x v="3"/>
    <x v="3"/>
    <x v="11"/>
    <s v="Executive Director"/>
    <m/>
    <s v="Norman"/>
  </r>
  <r>
    <x v="4"/>
    <x v="0"/>
    <x v="25"/>
    <s v="Team Lead"/>
    <m/>
    <s v="Norman"/>
  </r>
  <r>
    <x v="4"/>
    <x v="0"/>
    <x v="51"/>
    <s v="Intern"/>
    <m/>
    <s v="Norman"/>
  </r>
  <r>
    <x v="4"/>
    <x v="0"/>
    <x v="52"/>
    <s v="Intern"/>
    <m/>
    <s v="Norman"/>
  </r>
  <r>
    <x v="4"/>
    <x v="0"/>
    <x v="53"/>
    <s v="Intern"/>
    <m/>
    <s v="Norman"/>
  </r>
  <r>
    <x v="4"/>
    <x v="0"/>
    <x v="54"/>
    <s v="Intern"/>
    <m/>
    <s v="Norman"/>
  </r>
  <r>
    <x v="4"/>
    <x v="1"/>
    <x v="33"/>
    <s v="Team Lead"/>
    <m/>
    <s v="Norman"/>
  </r>
  <r>
    <x v="4"/>
    <x v="1"/>
    <x v="55"/>
    <s v="Intern"/>
    <m/>
    <s v="Norman"/>
  </r>
  <r>
    <x v="4"/>
    <x v="1"/>
    <x v="56"/>
    <s v="Intern"/>
    <m/>
    <s v="Norman"/>
  </r>
  <r>
    <x v="4"/>
    <x v="1"/>
    <x v="57"/>
    <s v="Intern"/>
    <m/>
    <s v="Norman"/>
  </r>
  <r>
    <x v="4"/>
    <x v="2"/>
    <x v="34"/>
    <s v="Team Lead"/>
    <m/>
    <s v="Norman"/>
  </r>
  <r>
    <x v="4"/>
    <x v="2"/>
    <x v="58"/>
    <s v="Intern"/>
    <m/>
    <s v="Norman"/>
  </r>
  <r>
    <x v="4"/>
    <x v="2"/>
    <x v="59"/>
    <s v="Intern"/>
    <m/>
    <s v="Norman"/>
  </r>
  <r>
    <x v="4"/>
    <x v="2"/>
    <x v="60"/>
    <s v="Intern"/>
    <m/>
    <s v="Norman"/>
  </r>
  <r>
    <x v="4"/>
    <x v="2"/>
    <x v="61"/>
    <s v="Intern"/>
    <m/>
    <s v="Norman"/>
  </r>
  <r>
    <x v="4"/>
    <x v="3"/>
    <x v="11"/>
    <s v="Executive Director"/>
    <m/>
    <s v="Norman"/>
  </r>
  <r>
    <x v="4"/>
    <x v="3"/>
    <x v="36"/>
    <s v="Fellow"/>
    <m/>
    <s v="Norman"/>
  </r>
  <r>
    <x v="4"/>
    <x v="3"/>
    <x v="62"/>
    <s v="Director of Programs"/>
    <m/>
    <s v="Norman"/>
  </r>
  <r>
    <x v="5"/>
    <x v="0"/>
    <x v="42"/>
    <s v="Team Lead"/>
    <m/>
    <s v="Norman"/>
  </r>
  <r>
    <x v="5"/>
    <x v="0"/>
    <x v="63"/>
    <s v="Intern"/>
    <m/>
    <s v="Norman"/>
  </r>
  <r>
    <x v="5"/>
    <x v="0"/>
    <x v="64"/>
    <s v="Intern"/>
    <m/>
    <s v="Norman"/>
  </r>
  <r>
    <x v="5"/>
    <x v="0"/>
    <x v="65"/>
    <s v="Intern"/>
    <m/>
    <s v="Norman"/>
  </r>
  <r>
    <x v="5"/>
    <x v="0"/>
    <x v="66"/>
    <s v="Intern"/>
    <m/>
    <s v="Norman"/>
  </r>
  <r>
    <x v="5"/>
    <x v="1"/>
    <x v="52"/>
    <s v="Team Lead"/>
    <m/>
    <s v="Norman"/>
  </r>
  <r>
    <x v="5"/>
    <x v="1"/>
    <x v="67"/>
    <s v="Intern"/>
    <m/>
    <s v="Norman"/>
  </r>
  <r>
    <x v="5"/>
    <x v="1"/>
    <x v="68"/>
    <s v="Intern"/>
    <m/>
    <s v="Norman"/>
  </r>
  <r>
    <x v="5"/>
    <x v="1"/>
    <x v="69"/>
    <s v="Intern"/>
    <m/>
    <s v="Norman"/>
  </r>
  <r>
    <x v="5"/>
    <x v="1"/>
    <x v="70"/>
    <s v="Intern"/>
    <m/>
    <s v="Norman"/>
  </r>
  <r>
    <x v="5"/>
    <x v="2"/>
    <x v="53"/>
    <s v="Team Lead"/>
    <m/>
    <s v="Norman"/>
  </r>
  <r>
    <x v="5"/>
    <x v="2"/>
    <x v="71"/>
    <s v="Intern"/>
    <m/>
    <s v="Norman"/>
  </r>
  <r>
    <x v="5"/>
    <x v="2"/>
    <x v="72"/>
    <s v="Intern"/>
    <m/>
    <s v="Norman"/>
  </r>
  <r>
    <x v="5"/>
    <x v="2"/>
    <x v="73"/>
    <s v="Intern"/>
    <m/>
    <s v="Norman"/>
  </r>
  <r>
    <x v="5"/>
    <x v="2"/>
    <x v="74"/>
    <s v="Intern"/>
    <m/>
    <s v="Norman"/>
  </r>
  <r>
    <x v="5"/>
    <x v="3"/>
    <x v="62"/>
    <s v="Director of Programs"/>
    <m/>
    <s v="Norman"/>
  </r>
  <r>
    <x v="5"/>
    <x v="3"/>
    <x v="36"/>
    <s v="Fellow"/>
    <m/>
    <s v="Norman"/>
  </r>
  <r>
    <x v="6"/>
    <x v="0"/>
    <x v="65"/>
    <s v="Team Lead"/>
    <m/>
    <s v="Norman"/>
  </r>
  <r>
    <x v="6"/>
    <x v="0"/>
    <x v="75"/>
    <s v="Intern"/>
    <m/>
    <s v="Norman"/>
  </r>
  <r>
    <x v="6"/>
    <x v="0"/>
    <x v="76"/>
    <s v="Intern"/>
    <m/>
    <s v="Norman"/>
  </r>
  <r>
    <x v="6"/>
    <x v="0"/>
    <x v="77"/>
    <s v="Intern"/>
    <m/>
    <s v="Norman"/>
  </r>
  <r>
    <x v="6"/>
    <x v="1"/>
    <x v="70"/>
    <s v="Team Lead"/>
    <m/>
    <s v="Norman"/>
  </r>
  <r>
    <x v="6"/>
    <x v="1"/>
    <x v="78"/>
    <s v="Intern"/>
    <m/>
    <s v="Norman"/>
  </r>
  <r>
    <x v="6"/>
    <x v="1"/>
    <x v="79"/>
    <s v="Intern"/>
    <m/>
    <s v="Norman"/>
  </r>
  <r>
    <x v="6"/>
    <x v="1"/>
    <x v="80"/>
    <s v="Intern"/>
    <m/>
    <s v="Norman"/>
  </r>
  <r>
    <x v="6"/>
    <x v="2"/>
    <x v="74"/>
    <s v="Team Lead"/>
    <m/>
    <s v="Norman"/>
  </r>
  <r>
    <x v="6"/>
    <x v="2"/>
    <x v="81"/>
    <s v="Intern"/>
    <m/>
    <s v="Norman"/>
  </r>
  <r>
    <x v="6"/>
    <x v="2"/>
    <x v="82"/>
    <s v="Intern"/>
    <m/>
    <s v="Norman"/>
  </r>
  <r>
    <x v="6"/>
    <x v="2"/>
    <x v="83"/>
    <s v="Intern"/>
    <m/>
    <s v="Norman"/>
  </r>
  <r>
    <x v="6"/>
    <x v="3"/>
    <x v="36"/>
    <s v="Fellow"/>
    <m/>
    <s v="Norman"/>
  </r>
  <r>
    <x v="6"/>
    <x v="3"/>
    <x v="62"/>
    <s v="Director of Programs"/>
    <m/>
    <s v="Norman"/>
  </r>
  <r>
    <x v="7"/>
    <x v="0"/>
    <x v="78"/>
    <s v="Team Lead"/>
    <m/>
    <s v="Norman"/>
  </r>
  <r>
    <x v="7"/>
    <x v="0"/>
    <x v="84"/>
    <s v="Intern"/>
    <m/>
    <s v="Norman"/>
  </r>
  <r>
    <x v="7"/>
    <x v="0"/>
    <x v="85"/>
    <s v="Intern"/>
    <m/>
    <s v="Norman"/>
  </r>
  <r>
    <x v="7"/>
    <x v="0"/>
    <x v="86"/>
    <s v="Intern"/>
    <m/>
    <s v="Norman"/>
  </r>
  <r>
    <x v="7"/>
    <x v="0"/>
    <x v="87"/>
    <s v="Intern"/>
    <m/>
    <s v="Norman"/>
  </r>
  <r>
    <x v="7"/>
    <x v="1"/>
    <x v="80"/>
    <s v="Team Lead"/>
    <m/>
    <s v="Norman"/>
  </r>
  <r>
    <x v="7"/>
    <x v="1"/>
    <x v="88"/>
    <s v="Intern"/>
    <m/>
    <s v="Norman"/>
  </r>
  <r>
    <x v="7"/>
    <x v="1"/>
    <x v="89"/>
    <s v="Intern"/>
    <m/>
    <s v="Norman"/>
  </r>
  <r>
    <x v="7"/>
    <x v="1"/>
    <x v="90"/>
    <s v="Intern"/>
    <m/>
    <s v="Norman"/>
  </r>
  <r>
    <x v="7"/>
    <x v="1"/>
    <x v="91"/>
    <s v="Intern"/>
    <m/>
    <s v="Norman"/>
  </r>
  <r>
    <x v="7"/>
    <x v="2"/>
    <x v="83"/>
    <s v="Team Lead"/>
    <m/>
    <s v="Norman"/>
  </r>
  <r>
    <x v="7"/>
    <x v="2"/>
    <x v="92"/>
    <s v="Intern"/>
    <m/>
    <s v="Norman"/>
  </r>
  <r>
    <x v="7"/>
    <x v="2"/>
    <x v="93"/>
    <s v="Intern"/>
    <m/>
    <s v="Norman"/>
  </r>
  <r>
    <x v="7"/>
    <x v="2"/>
    <x v="94"/>
    <s v="Intern"/>
    <m/>
    <s v="Norman"/>
  </r>
  <r>
    <x v="7"/>
    <x v="2"/>
    <x v="95"/>
    <s v="Intern"/>
    <m/>
    <s v="Norman"/>
  </r>
  <r>
    <x v="7"/>
    <x v="2"/>
    <x v="96"/>
    <s v="Intern"/>
    <m/>
    <s v="Norman"/>
  </r>
  <r>
    <x v="7"/>
    <x v="3"/>
    <x v="97"/>
    <s v="Executive Director"/>
    <m/>
    <s v="Norman"/>
  </r>
  <r>
    <x v="7"/>
    <x v="3"/>
    <x v="62"/>
    <s v="Director of Programs"/>
    <m/>
    <s v="Norman"/>
  </r>
  <r>
    <x v="7"/>
    <x v="3"/>
    <x v="36"/>
    <s v="Fellow"/>
    <m/>
    <s v="Norman"/>
  </r>
  <r>
    <x v="8"/>
    <x v="0"/>
    <x v="76"/>
    <s v="Team Lead"/>
    <m/>
    <s v="Norman"/>
  </r>
  <r>
    <x v="8"/>
    <x v="0"/>
    <x v="98"/>
    <s v="Intern"/>
    <m/>
    <s v="Norman"/>
  </r>
  <r>
    <x v="8"/>
    <x v="0"/>
    <x v="99"/>
    <s v="Intern"/>
    <m/>
    <s v="Norman"/>
  </r>
  <r>
    <x v="8"/>
    <x v="0"/>
    <x v="100"/>
    <s v="Intern"/>
    <m/>
    <s v="Norman"/>
  </r>
  <r>
    <x v="8"/>
    <x v="0"/>
    <x v="101"/>
    <s v="Intern"/>
    <m/>
    <s v="Norman"/>
  </r>
  <r>
    <x v="8"/>
    <x v="1"/>
    <x v="79"/>
    <s v="Team Lead"/>
    <m/>
    <s v="Norman"/>
  </r>
  <r>
    <x v="8"/>
    <x v="1"/>
    <x v="102"/>
    <s v="Intern"/>
    <m/>
    <s v="Norman"/>
  </r>
  <r>
    <x v="8"/>
    <x v="1"/>
    <x v="103"/>
    <s v="Intern"/>
    <m/>
    <s v="Norman"/>
  </r>
  <r>
    <x v="8"/>
    <x v="1"/>
    <x v="104"/>
    <s v="Intern"/>
    <m/>
    <s v="Norman"/>
  </r>
  <r>
    <x v="8"/>
    <x v="1"/>
    <x v="105"/>
    <s v="Intern"/>
    <m/>
    <s v="Norman"/>
  </r>
  <r>
    <x v="8"/>
    <x v="1"/>
    <x v="106"/>
    <s v="Intern"/>
    <m/>
    <s v="Norman"/>
  </r>
  <r>
    <x v="8"/>
    <x v="1"/>
    <x v="107"/>
    <s v="Intern"/>
    <m/>
    <s v="Norman"/>
  </r>
  <r>
    <x v="8"/>
    <x v="1"/>
    <x v="108"/>
    <s v="Intern"/>
    <m/>
    <s v="Norman"/>
  </r>
  <r>
    <x v="8"/>
    <x v="1"/>
    <x v="109"/>
    <s v="Intern"/>
    <m/>
    <s v="Norman"/>
  </r>
  <r>
    <x v="8"/>
    <x v="2"/>
    <x v="95"/>
    <s v="Team Lead"/>
    <m/>
    <s v="Norman"/>
  </r>
  <r>
    <x v="8"/>
    <x v="2"/>
    <x v="110"/>
    <s v="Intern"/>
    <m/>
    <s v="Norman"/>
  </r>
  <r>
    <x v="8"/>
    <x v="2"/>
    <x v="111"/>
    <s v="Intern"/>
    <m/>
    <s v="Norman"/>
  </r>
  <r>
    <x v="8"/>
    <x v="2"/>
    <x v="112"/>
    <s v="Intern"/>
    <m/>
    <s v="Norman"/>
  </r>
  <r>
    <x v="8"/>
    <x v="2"/>
    <x v="113"/>
    <s v="Intern"/>
    <m/>
    <s v="Norman"/>
  </r>
  <r>
    <x v="8"/>
    <x v="3"/>
    <x v="97"/>
    <s v="Executive Director"/>
    <m/>
    <s v="Norman"/>
  </r>
  <r>
    <x v="8"/>
    <x v="3"/>
    <x v="62"/>
    <s v="Director of Programs"/>
    <m/>
    <s v="Norman"/>
  </r>
  <r>
    <x v="8"/>
    <x v="3"/>
    <x v="83"/>
    <s v="Fellow"/>
    <m/>
    <s v="Norman"/>
  </r>
  <r>
    <x v="8"/>
    <x v="3"/>
    <x v="114"/>
    <s v="Fellow"/>
    <m/>
    <s v="Norman"/>
  </r>
  <r>
    <x v="9"/>
    <x v="0"/>
    <x v="99"/>
    <s v="Team Lead"/>
    <m/>
    <s v="Norman"/>
  </r>
  <r>
    <x v="9"/>
    <x v="0"/>
    <x v="115"/>
    <s v="Intern"/>
    <m/>
    <s v="Norman"/>
  </r>
  <r>
    <x v="9"/>
    <x v="0"/>
    <x v="116"/>
    <s v="Intern"/>
    <m/>
    <s v="Norman"/>
  </r>
  <r>
    <x v="9"/>
    <x v="0"/>
    <x v="117"/>
    <s v="Intern"/>
    <m/>
    <s v="Norman"/>
  </r>
  <r>
    <x v="9"/>
    <x v="0"/>
    <x v="118"/>
    <s v="Intern"/>
    <m/>
    <s v="Norman"/>
  </r>
  <r>
    <x v="9"/>
    <x v="0"/>
    <x v="119"/>
    <s v="Intern"/>
    <m/>
    <s v="Norman"/>
  </r>
  <r>
    <x v="9"/>
    <x v="1"/>
    <x v="85"/>
    <s v="Team Lead"/>
    <m/>
    <s v="Norman"/>
  </r>
  <r>
    <x v="9"/>
    <x v="1"/>
    <x v="120"/>
    <s v="Intern"/>
    <m/>
    <s v="Norman"/>
  </r>
  <r>
    <x v="9"/>
    <x v="1"/>
    <x v="121"/>
    <s v="Intern"/>
    <m/>
    <s v="Norman"/>
  </r>
  <r>
    <x v="9"/>
    <x v="1"/>
    <x v="122"/>
    <s v="Intern"/>
    <m/>
    <s v="Norman"/>
  </r>
  <r>
    <x v="9"/>
    <x v="1"/>
    <x v="123"/>
    <s v="Intern"/>
    <m/>
    <s v="Norman"/>
  </r>
  <r>
    <x v="9"/>
    <x v="1"/>
    <x v="124"/>
    <s v="Intern"/>
    <m/>
    <s v="Norman"/>
  </r>
  <r>
    <x v="9"/>
    <x v="1"/>
    <x v="125"/>
    <s v="Intern"/>
    <m/>
    <s v="Norman"/>
  </r>
  <r>
    <x v="9"/>
    <x v="2"/>
    <x v="111"/>
    <s v="Team Lead"/>
    <m/>
    <s v="Norman"/>
  </r>
  <r>
    <x v="9"/>
    <x v="2"/>
    <x v="126"/>
    <s v="Intern"/>
    <m/>
    <s v="Norman"/>
  </r>
  <r>
    <x v="9"/>
    <x v="2"/>
    <x v="127"/>
    <s v="Intern"/>
    <m/>
    <s v="Norman"/>
  </r>
  <r>
    <x v="9"/>
    <x v="2"/>
    <x v="128"/>
    <s v="Intern"/>
    <m/>
    <s v="Norman"/>
  </r>
  <r>
    <x v="9"/>
    <x v="2"/>
    <x v="129"/>
    <s v="Intern"/>
    <m/>
    <s v="Norman"/>
  </r>
  <r>
    <x v="9"/>
    <x v="3"/>
    <x v="97"/>
    <s v="Executive Director"/>
    <m/>
    <s v="Norman"/>
  </r>
  <r>
    <x v="9"/>
    <x v="3"/>
    <x v="130"/>
    <s v="Director of Programs"/>
    <m/>
    <s v="Norman"/>
  </r>
  <r>
    <x v="9"/>
    <x v="3"/>
    <x v="83"/>
    <s v="Fellow"/>
    <m/>
    <s v="Norman"/>
  </r>
  <r>
    <x v="9"/>
    <x v="3"/>
    <x v="40"/>
    <s v="Fellow"/>
    <m/>
    <s v="Norman"/>
  </r>
  <r>
    <x v="10"/>
    <x v="0"/>
    <x v="92"/>
    <s v="Team Lead"/>
    <m/>
    <s v="Norman"/>
  </r>
  <r>
    <x v="10"/>
    <x v="0"/>
    <x v="131"/>
    <s v="Intern"/>
    <m/>
    <s v="Norman"/>
  </r>
  <r>
    <x v="10"/>
    <x v="0"/>
    <x v="132"/>
    <s v="Intern"/>
    <m/>
    <s v="Norman"/>
  </r>
  <r>
    <x v="10"/>
    <x v="0"/>
    <x v="133"/>
    <s v="Intern"/>
    <m/>
    <s v="Norman"/>
  </r>
  <r>
    <x v="10"/>
    <x v="0"/>
    <x v="134"/>
    <s v="Intern"/>
    <m/>
    <s v="Norman"/>
  </r>
  <r>
    <x v="10"/>
    <x v="1"/>
    <x v="100"/>
    <s v="Team Lead"/>
    <m/>
    <s v="Norman"/>
  </r>
  <r>
    <x v="10"/>
    <x v="1"/>
    <x v="135"/>
    <s v="Intern"/>
    <m/>
    <s v="Norman"/>
  </r>
  <r>
    <x v="10"/>
    <x v="1"/>
    <x v="136"/>
    <s v="Intern"/>
    <m/>
    <s v="Norman"/>
  </r>
  <r>
    <x v="10"/>
    <x v="1"/>
    <x v="137"/>
    <s v="Intern"/>
    <m/>
    <s v="Norman"/>
  </r>
  <r>
    <x v="10"/>
    <x v="1"/>
    <x v="138"/>
    <s v="Intern"/>
    <m/>
    <s v="Norman"/>
  </r>
  <r>
    <x v="10"/>
    <x v="1"/>
    <x v="139"/>
    <s v="Intern"/>
    <m/>
    <s v="Norman"/>
  </r>
  <r>
    <x v="10"/>
    <x v="1"/>
    <x v="140"/>
    <s v="Intern"/>
    <m/>
    <s v="Norman"/>
  </r>
  <r>
    <x v="10"/>
    <x v="1"/>
    <x v="141"/>
    <s v="Intern"/>
    <m/>
    <s v="Norman"/>
  </r>
  <r>
    <x v="10"/>
    <x v="1"/>
    <x v="142"/>
    <s v="Intern"/>
    <m/>
    <s v="Norman"/>
  </r>
  <r>
    <x v="10"/>
    <x v="1"/>
    <x v="143"/>
    <s v="Intern"/>
    <m/>
    <s v="Norman"/>
  </r>
  <r>
    <x v="10"/>
    <x v="2"/>
    <x v="101"/>
    <s v="Team Lead"/>
    <m/>
    <s v="Norman"/>
  </r>
  <r>
    <x v="10"/>
    <x v="2"/>
    <x v="144"/>
    <s v="Intern"/>
    <m/>
    <s v="Norman"/>
  </r>
  <r>
    <x v="10"/>
    <x v="2"/>
    <x v="145"/>
    <s v="Intern"/>
    <m/>
    <s v="Norman"/>
  </r>
  <r>
    <x v="10"/>
    <x v="2"/>
    <x v="146"/>
    <s v="Intern"/>
    <m/>
    <s v="Norman"/>
  </r>
  <r>
    <x v="10"/>
    <x v="2"/>
    <x v="147"/>
    <s v="Intern"/>
    <m/>
    <s v="Norman"/>
  </r>
  <r>
    <x v="10"/>
    <x v="4"/>
    <x v="120"/>
    <s v="Team Lead"/>
    <m/>
    <s v="Norman"/>
  </r>
  <r>
    <x v="10"/>
    <x v="4"/>
    <x v="148"/>
    <s v="Intern"/>
    <m/>
    <s v="Norman"/>
  </r>
  <r>
    <x v="10"/>
    <x v="4"/>
    <x v="149"/>
    <s v="Intern"/>
    <m/>
    <s v="Norman"/>
  </r>
  <r>
    <x v="10"/>
    <x v="4"/>
    <x v="150"/>
    <s v="Intern"/>
    <m/>
    <s v="Norman"/>
  </r>
  <r>
    <x v="10"/>
    <x v="4"/>
    <x v="151"/>
    <s v="Intern"/>
    <m/>
    <s v="Norman"/>
  </r>
  <r>
    <x v="10"/>
    <x v="4"/>
    <x v="152"/>
    <s v="Intern"/>
    <m/>
    <s v="Norman"/>
  </r>
  <r>
    <x v="10"/>
    <x v="4"/>
    <x v="153"/>
    <s v="Intern"/>
    <m/>
    <s v="Norman"/>
  </r>
  <r>
    <x v="10"/>
    <x v="3"/>
    <x v="97"/>
    <s v="Executive Director"/>
    <m/>
    <s v="Norman"/>
  </r>
  <r>
    <x v="10"/>
    <x v="3"/>
    <x v="130"/>
    <s v="Director of Programs"/>
    <m/>
    <s v="Norman"/>
  </r>
  <r>
    <x v="10"/>
    <x v="3"/>
    <x v="99"/>
    <s v="Fellow"/>
    <m/>
    <s v="Norman"/>
  </r>
  <r>
    <x v="10"/>
    <x v="3"/>
    <x v="40"/>
    <s v="Fellow"/>
    <m/>
    <s v="Norman"/>
  </r>
  <r>
    <x v="10"/>
    <x v="3"/>
    <x v="90"/>
    <s v="Fellow"/>
    <m/>
    <s v="Norman"/>
  </r>
  <r>
    <x v="11"/>
    <x v="0"/>
    <x v="132"/>
    <s v="Team Lead"/>
    <m/>
    <s v="Norman"/>
  </r>
  <r>
    <x v="11"/>
    <x v="0"/>
    <x v="154"/>
    <s v="Intern"/>
    <m/>
    <s v="Norman"/>
  </r>
  <r>
    <x v="11"/>
    <x v="0"/>
    <x v="155"/>
    <s v="Intern"/>
    <m/>
    <s v="Norman"/>
  </r>
  <r>
    <x v="11"/>
    <x v="0"/>
    <x v="156"/>
    <s v="Intern"/>
    <m/>
    <s v="Norman"/>
  </r>
  <r>
    <x v="11"/>
    <x v="0"/>
    <x v="157"/>
    <s v="Intern"/>
    <m/>
    <s v="Norman"/>
  </r>
  <r>
    <x v="11"/>
    <x v="0"/>
    <x v="158"/>
    <s v="Intern"/>
    <m/>
    <s v="Norman"/>
  </r>
  <r>
    <x v="11"/>
    <x v="1"/>
    <x v="117"/>
    <s v="Team Lead"/>
    <m/>
    <s v="Norman"/>
  </r>
  <r>
    <x v="11"/>
    <x v="1"/>
    <x v="159"/>
    <s v="Intern"/>
    <m/>
    <s v="Norman"/>
  </r>
  <r>
    <x v="11"/>
    <x v="1"/>
    <x v="160"/>
    <s v="Intern"/>
    <m/>
    <s v="Norman"/>
  </r>
  <r>
    <x v="11"/>
    <x v="1"/>
    <x v="161"/>
    <s v="Intern"/>
    <m/>
    <s v="Norman"/>
  </r>
  <r>
    <x v="11"/>
    <x v="1"/>
    <x v="162"/>
    <s v="Intern"/>
    <m/>
    <s v="Norman"/>
  </r>
  <r>
    <x v="11"/>
    <x v="2"/>
    <x v="84"/>
    <s v="Team Lead"/>
    <m/>
    <s v="Norman"/>
  </r>
  <r>
    <x v="11"/>
    <x v="2"/>
    <x v="148"/>
    <s v="Team Lead"/>
    <m/>
    <s v="Norman"/>
  </r>
  <r>
    <x v="11"/>
    <x v="2"/>
    <x v="163"/>
    <s v="Intern"/>
    <m/>
    <s v="Norman"/>
  </r>
  <r>
    <x v="11"/>
    <x v="2"/>
    <x v="164"/>
    <s v="Intern"/>
    <m/>
    <s v="Norman"/>
  </r>
  <r>
    <x v="11"/>
    <x v="2"/>
    <x v="165"/>
    <s v="Intern"/>
    <m/>
    <s v="Norman"/>
  </r>
  <r>
    <x v="11"/>
    <x v="2"/>
    <x v="166"/>
    <s v="Intern"/>
    <m/>
    <s v="Norman"/>
  </r>
  <r>
    <x v="11"/>
    <x v="2"/>
    <x v="167"/>
    <s v="Intern"/>
    <m/>
    <s v="Norman"/>
  </r>
  <r>
    <x v="11"/>
    <x v="2"/>
    <x v="168"/>
    <s v="Intern"/>
    <m/>
    <s v="Norman"/>
  </r>
  <r>
    <x v="11"/>
    <x v="2"/>
    <x v="169"/>
    <s v="Intern"/>
    <m/>
    <s v="Norman"/>
  </r>
  <r>
    <x v="11"/>
    <x v="2"/>
    <x v="170"/>
    <s v="Intern"/>
    <m/>
    <s v="Norman"/>
  </r>
  <r>
    <x v="11"/>
    <x v="5"/>
    <x v="171"/>
    <s v="Intern"/>
    <m/>
    <s v="Tulsa"/>
  </r>
  <r>
    <x v="11"/>
    <x v="5"/>
    <x v="172"/>
    <s v="Intern"/>
    <m/>
    <s v="Tulsa"/>
  </r>
  <r>
    <x v="11"/>
    <x v="5"/>
    <x v="173"/>
    <s v="Intern"/>
    <m/>
    <s v="Tulsa"/>
  </r>
  <r>
    <x v="12"/>
    <x v="3"/>
    <x v="97"/>
    <s v="Executive Director"/>
    <m/>
    <s v="Norman"/>
  </r>
  <r>
    <x v="12"/>
    <x v="3"/>
    <x v="130"/>
    <s v="Director of Programs"/>
    <m/>
    <s v="Norman"/>
  </r>
  <r>
    <x v="10"/>
    <x v="3"/>
    <x v="99"/>
    <s v="Fellow"/>
    <m/>
    <s v="Norman"/>
  </r>
  <r>
    <x v="10"/>
    <x v="3"/>
    <x v="40"/>
    <s v="Fellow"/>
    <m/>
    <s v="Norman"/>
  </r>
  <r>
    <x v="10"/>
    <x v="3"/>
    <x v="143"/>
    <s v="Fellow"/>
    <m/>
    <s v="Norman"/>
  </r>
  <r>
    <x v="12"/>
    <x v="0"/>
    <x v="134"/>
    <s v="Team Lead"/>
    <m/>
    <s v="Norman"/>
  </r>
  <r>
    <x v="12"/>
    <x v="0"/>
    <x v="174"/>
    <s v="Intern"/>
    <m/>
    <s v="Norman"/>
  </r>
  <r>
    <x v="12"/>
    <x v="0"/>
    <x v="175"/>
    <s v="Intern"/>
    <m/>
    <s v="Norman"/>
  </r>
  <r>
    <x v="12"/>
    <x v="0"/>
    <x v="176"/>
    <s v="Intern"/>
    <m/>
    <s v="Norman"/>
  </r>
  <r>
    <x v="12"/>
    <x v="0"/>
    <x v="177"/>
    <s v="Intern"/>
    <m/>
    <s v="Norman"/>
  </r>
  <r>
    <x v="12"/>
    <x v="1"/>
    <x v="138"/>
    <s v="Team Lead"/>
    <m/>
    <s v="Norman"/>
  </r>
  <r>
    <x v="12"/>
    <x v="1"/>
    <x v="166"/>
    <s v="Team Lead"/>
    <m/>
    <s v="Norman"/>
  </r>
  <r>
    <x v="12"/>
    <x v="1"/>
    <x v="178"/>
    <s v="Intern"/>
    <m/>
    <s v="Norman"/>
  </r>
  <r>
    <x v="12"/>
    <x v="1"/>
    <x v="179"/>
    <s v="Intern"/>
    <m/>
    <s v="Norman"/>
  </r>
  <r>
    <x v="12"/>
    <x v="1"/>
    <x v="180"/>
    <s v="Intern"/>
    <m/>
    <s v="Norman"/>
  </r>
  <r>
    <x v="12"/>
    <x v="1"/>
    <x v="181"/>
    <s v="Intern"/>
    <m/>
    <s v="Norman"/>
  </r>
  <r>
    <x v="12"/>
    <x v="1"/>
    <x v="182"/>
    <s v="Intern"/>
    <m/>
    <s v="Norman"/>
  </r>
  <r>
    <x v="12"/>
    <x v="1"/>
    <x v="183"/>
    <s v="Intern"/>
    <m/>
    <s v="Norman"/>
  </r>
  <r>
    <x v="12"/>
    <x v="1"/>
    <x v="184"/>
    <s v="Intern"/>
    <m/>
    <s v="Norman"/>
  </r>
  <r>
    <x v="12"/>
    <x v="1"/>
    <x v="185"/>
    <s v="Intern"/>
    <m/>
    <s v="Norman"/>
  </r>
  <r>
    <x v="12"/>
    <x v="1"/>
    <x v="186"/>
    <s v="Intern"/>
    <m/>
    <s v="Norman"/>
  </r>
  <r>
    <x v="12"/>
    <x v="1"/>
    <x v="187"/>
    <s v="Intern"/>
    <m/>
    <s v="Norman"/>
  </r>
  <r>
    <x v="12"/>
    <x v="2"/>
    <x v="146"/>
    <s v="Team Lead"/>
    <m/>
    <s v="Norman"/>
  </r>
  <r>
    <x v="12"/>
    <x v="2"/>
    <x v="188"/>
    <s v="Intern"/>
    <m/>
    <s v="Norman"/>
  </r>
  <r>
    <x v="12"/>
    <x v="2"/>
    <x v="189"/>
    <s v="Intern"/>
    <m/>
    <s v="Norman"/>
  </r>
  <r>
    <x v="12"/>
    <x v="2"/>
    <x v="190"/>
    <s v="Intern"/>
    <m/>
    <s v="Norman"/>
  </r>
  <r>
    <x v="12"/>
    <x v="2"/>
    <x v="191"/>
    <s v="Intern"/>
    <m/>
    <s v="Norman"/>
  </r>
  <r>
    <x v="12"/>
    <x v="5"/>
    <x v="172"/>
    <s v="Team Lead"/>
    <m/>
    <s v="Tulsa"/>
  </r>
  <r>
    <x v="12"/>
    <x v="5"/>
    <x v="192"/>
    <s v="Intern"/>
    <m/>
    <s v="Tulsa"/>
  </r>
  <r>
    <x v="12"/>
    <x v="5"/>
    <x v="193"/>
    <s v="Intern"/>
    <m/>
    <s v="Tulsa"/>
  </r>
  <r>
    <x v="12"/>
    <x v="5"/>
    <x v="194"/>
    <s v="Intern"/>
    <m/>
    <s v="Tulsa"/>
  </r>
  <r>
    <x v="12"/>
    <x v="5"/>
    <x v="195"/>
    <s v="Intern"/>
    <m/>
    <s v="Tulsa"/>
  </r>
  <r>
    <x v="12"/>
    <x v="3"/>
    <x v="97"/>
    <s v="Executive Director"/>
    <m/>
    <s v="Norman"/>
  </r>
  <r>
    <x v="12"/>
    <x v="3"/>
    <x v="130"/>
    <s v="Director of Programs"/>
    <m/>
    <s v="Norman"/>
  </r>
  <r>
    <x v="12"/>
    <x v="3"/>
    <x v="99"/>
    <s v="Fellow"/>
    <m/>
    <s v="Norman"/>
  </r>
  <r>
    <x v="12"/>
    <x v="3"/>
    <x v="120"/>
    <s v="Fellow"/>
    <m/>
    <s v="Norman"/>
  </r>
  <r>
    <x v="12"/>
    <x v="3"/>
    <x v="78"/>
    <s v="Fellow"/>
    <m/>
    <s v="Norman"/>
  </r>
  <r>
    <x v="12"/>
    <x v="3"/>
    <x v="143"/>
    <s v="Fellow"/>
    <m/>
    <s v="Norman"/>
  </r>
  <r>
    <x v="13"/>
    <x v="0"/>
    <x v="176"/>
    <s v="Team Lead"/>
    <m/>
    <s v="Norman"/>
  </r>
  <r>
    <x v="13"/>
    <x v="0"/>
    <x v="196"/>
    <s v="Intern"/>
    <m/>
    <s v="Norman"/>
  </r>
  <r>
    <x v="13"/>
    <x v="0"/>
    <x v="197"/>
    <s v="Intern"/>
    <m/>
    <s v="Norman"/>
  </r>
  <r>
    <x v="13"/>
    <x v="0"/>
    <x v="198"/>
    <s v="Intern"/>
    <m/>
    <s v="Norman"/>
  </r>
  <r>
    <x v="13"/>
    <x v="0"/>
    <x v="199"/>
    <s v="Intern"/>
    <m/>
    <s v="Norman"/>
  </r>
  <r>
    <x v="13"/>
    <x v="1"/>
    <x v="180"/>
    <s v="Team Lead"/>
    <m/>
    <s v="Norman"/>
  </r>
  <r>
    <x v="13"/>
    <x v="1"/>
    <x v="182"/>
    <s v="Team Lead"/>
    <m/>
    <s v="Norman"/>
  </r>
  <r>
    <x v="13"/>
    <x v="1"/>
    <x v="200"/>
    <s v="Intern"/>
    <m/>
    <s v="Norman"/>
  </r>
  <r>
    <x v="13"/>
    <x v="1"/>
    <x v="201"/>
    <s v="Intern"/>
    <m/>
    <s v="Norman"/>
  </r>
  <r>
    <x v="13"/>
    <x v="1"/>
    <x v="202"/>
    <s v="Intern"/>
    <m/>
    <s v="Norman"/>
  </r>
  <r>
    <x v="13"/>
    <x v="1"/>
    <x v="203"/>
    <s v="Intern"/>
    <m/>
    <s v="Norman"/>
  </r>
  <r>
    <x v="13"/>
    <x v="1"/>
    <x v="204"/>
    <s v="Intern"/>
    <m/>
    <s v="Norman"/>
  </r>
  <r>
    <x v="13"/>
    <x v="1"/>
    <x v="205"/>
    <s v="Intern"/>
    <m/>
    <s v="Norman"/>
  </r>
  <r>
    <x v="13"/>
    <x v="1"/>
    <x v="206"/>
    <s v="Intern"/>
    <m/>
    <s v="Norman"/>
  </r>
  <r>
    <x v="13"/>
    <x v="1"/>
    <x v="207"/>
    <s v="Intern"/>
    <m/>
    <s v="Norman"/>
  </r>
  <r>
    <x v="13"/>
    <x v="2"/>
    <x v="187"/>
    <s v="Team Lead"/>
    <m/>
    <s v="Norman"/>
  </r>
  <r>
    <x v="13"/>
    <x v="2"/>
    <x v="208"/>
    <s v="Intern"/>
    <m/>
    <s v="Norman"/>
  </r>
  <r>
    <x v="13"/>
    <x v="2"/>
    <x v="209"/>
    <s v="Intern"/>
    <m/>
    <s v="Norman"/>
  </r>
  <r>
    <x v="13"/>
    <x v="2"/>
    <x v="210"/>
    <s v="Intern"/>
    <m/>
    <s v="Norman"/>
  </r>
  <r>
    <x v="13"/>
    <x v="2"/>
    <x v="211"/>
    <s v="Intern"/>
    <m/>
    <s v="Tulsa"/>
  </r>
  <r>
    <x v="13"/>
    <x v="5"/>
    <x v="194"/>
    <s v="Team Lead"/>
    <m/>
    <s v="Tulsa"/>
  </r>
  <r>
    <x v="13"/>
    <x v="5"/>
    <x v="212"/>
    <s v="Intern"/>
    <m/>
    <s v="Tulsa"/>
  </r>
  <r>
    <x v="13"/>
    <x v="5"/>
    <x v="213"/>
    <s v="Intern"/>
    <m/>
    <s v="Tulsa"/>
  </r>
  <r>
    <x v="13"/>
    <x v="5"/>
    <x v="214"/>
    <s v="Intern"/>
    <m/>
    <s v="Norman"/>
  </r>
  <r>
    <x v="13"/>
    <x v="6"/>
    <x v="215"/>
    <s v="Intern"/>
    <m/>
    <s v="Norman"/>
  </r>
  <r>
    <x v="13"/>
    <x v="6"/>
    <x v="216"/>
    <s v="Intern"/>
    <m/>
    <s v="Norman"/>
  </r>
  <r>
    <x v="13"/>
    <x v="3"/>
    <x v="97"/>
    <s v="Executive Director"/>
    <m/>
    <s v="Norman"/>
  </r>
  <r>
    <x v="13"/>
    <x v="3"/>
    <x v="130"/>
    <s v="Director of Programs"/>
    <m/>
    <s v="Norman"/>
  </r>
  <r>
    <x v="13"/>
    <x v="3"/>
    <x v="99"/>
    <s v="Fellow"/>
    <m/>
    <s v="Norman"/>
  </r>
  <r>
    <x v="13"/>
    <x v="3"/>
    <x v="120"/>
    <s v="Fellow"/>
    <m/>
    <s v="Norman"/>
  </r>
  <r>
    <x v="13"/>
    <x v="3"/>
    <x v="78"/>
    <s v="Fellow"/>
    <m/>
    <s v="Norman"/>
  </r>
  <r>
    <x v="13"/>
    <x v="3"/>
    <x v="143"/>
    <s v="Fellow"/>
    <m/>
    <s v="Norman"/>
  </r>
  <r>
    <x v="14"/>
    <x v="0"/>
    <x v="117"/>
    <s v="Team Lead"/>
    <m/>
    <s v="Norman"/>
  </r>
  <r>
    <x v="14"/>
    <x v="0"/>
    <x v="217"/>
    <s v="Intern"/>
    <m/>
    <s v="Norman"/>
  </r>
  <r>
    <x v="14"/>
    <x v="0"/>
    <x v="218"/>
    <s v="Intern"/>
    <m/>
    <s v="Norman"/>
  </r>
  <r>
    <x v="14"/>
    <x v="0"/>
    <x v="219"/>
    <s v="Intern"/>
    <m/>
    <s v="Norman"/>
  </r>
  <r>
    <x v="14"/>
    <x v="0"/>
    <x v="220"/>
    <s v="Intern"/>
    <m/>
    <s v="Norman"/>
  </r>
  <r>
    <x v="14"/>
    <x v="1"/>
    <x v="174"/>
    <s v="Team Lead"/>
    <m/>
    <s v="Norman"/>
  </r>
  <r>
    <x v="14"/>
    <x v="1"/>
    <x v="221"/>
    <s v="Intern"/>
    <m/>
    <s v="Norman"/>
  </r>
  <r>
    <x v="14"/>
    <x v="1"/>
    <x v="222"/>
    <s v="Intern"/>
    <m/>
    <s v="Norman"/>
  </r>
  <r>
    <x v="14"/>
    <x v="1"/>
    <x v="223"/>
    <s v="Intern"/>
    <m/>
    <s v="Norman"/>
  </r>
  <r>
    <x v="14"/>
    <x v="1"/>
    <x v="224"/>
    <s v="Intern"/>
    <m/>
    <s v="Norman"/>
  </r>
  <r>
    <x v="14"/>
    <x v="2"/>
    <x v="199"/>
    <s v="Team Lead"/>
    <m/>
    <s v="Norman"/>
  </r>
  <r>
    <x v="14"/>
    <x v="2"/>
    <x v="200"/>
    <s v="Team Lead"/>
    <m/>
    <s v="Norman"/>
  </r>
  <r>
    <x v="14"/>
    <x v="2"/>
    <x v="225"/>
    <s v="Intern"/>
    <m/>
    <s v="Norman"/>
  </r>
  <r>
    <x v="14"/>
    <x v="2"/>
    <x v="226"/>
    <s v="Intern"/>
    <m/>
    <s v="Norman"/>
  </r>
  <r>
    <x v="14"/>
    <x v="2"/>
    <x v="227"/>
    <s v="Intern"/>
    <m/>
    <s v="Norman"/>
  </r>
  <r>
    <x v="14"/>
    <x v="2"/>
    <x v="228"/>
    <s v="Intern"/>
    <m/>
    <s v="Norman"/>
  </r>
  <r>
    <x v="14"/>
    <x v="2"/>
    <x v="229"/>
    <s v="Intern"/>
    <m/>
    <s v="Norman"/>
  </r>
  <r>
    <x v="14"/>
    <x v="2"/>
    <x v="230"/>
    <s v="Intern"/>
    <m/>
    <s v="Norman"/>
  </r>
  <r>
    <x v="14"/>
    <x v="5"/>
    <x v="213"/>
    <s v="Team Lead"/>
    <m/>
    <s v="Tulsa"/>
  </r>
  <r>
    <x v="14"/>
    <x v="5"/>
    <x v="231"/>
    <s v="Intern"/>
    <m/>
    <s v="Tulsa"/>
  </r>
  <r>
    <x v="14"/>
    <x v="5"/>
    <x v="232"/>
    <s v="Intern"/>
    <m/>
    <s v="Tulsa"/>
  </r>
  <r>
    <x v="14"/>
    <x v="5"/>
    <x v="233"/>
    <s v="Intern"/>
    <m/>
    <s v="Tulsa"/>
  </r>
  <r>
    <x v="14"/>
    <x v="6"/>
    <x v="215"/>
    <s v="Team Lead"/>
    <m/>
    <s v="Norman"/>
  </r>
  <r>
    <x v="14"/>
    <x v="6"/>
    <x v="216"/>
    <s v="Team Lead"/>
    <m/>
    <s v="Norman"/>
  </r>
  <r>
    <x v="14"/>
    <x v="6"/>
    <x v="234"/>
    <s v="Intern"/>
    <m/>
    <s v="Norman"/>
  </r>
  <r>
    <x v="14"/>
    <x v="6"/>
    <x v="235"/>
    <s v="Intern"/>
    <m/>
    <s v="Norman"/>
  </r>
  <r>
    <x v="14"/>
    <x v="6"/>
    <x v="236"/>
    <s v="Intern"/>
    <m/>
    <s v="Norman"/>
  </r>
  <r>
    <x v="14"/>
    <x v="3"/>
    <x v="97"/>
    <s v="Executive Director"/>
    <m/>
    <s v="Norman"/>
  </r>
  <r>
    <x v="14"/>
    <x v="3"/>
    <x v="237"/>
    <s v="Director"/>
    <m/>
    <s v="Norman"/>
  </r>
  <r>
    <x v="14"/>
    <x v="3"/>
    <x v="120"/>
    <s v="Program Manager"/>
    <m/>
    <s v="Norman"/>
  </r>
  <r>
    <x v="14"/>
    <x v="3"/>
    <x v="78"/>
    <s v="Program Manager"/>
    <m/>
    <s v="Norman"/>
  </r>
  <r>
    <x v="14"/>
    <x v="3"/>
    <x v="99"/>
    <s v="Fellow"/>
    <m/>
    <s v="Norman"/>
  </r>
  <r>
    <x v="14"/>
    <x v="3"/>
    <x v="143"/>
    <s v="Fellow"/>
    <m/>
    <s v="Norman"/>
  </r>
  <r>
    <x v="14"/>
    <x v="3"/>
    <x v="182"/>
    <s v="Fellow"/>
    <m/>
    <s v="Norman"/>
  </r>
  <r>
    <x v="14"/>
    <x v="3"/>
    <x v="197"/>
    <s v="Fellow"/>
    <m/>
    <s v="Norman"/>
  </r>
  <r>
    <x v="15"/>
    <x v="0"/>
    <x v="154"/>
    <s v="Team Lead"/>
    <m/>
    <s v="Norman"/>
  </r>
  <r>
    <x v="15"/>
    <x v="0"/>
    <x v="238"/>
    <s v="Intern"/>
    <m/>
    <s v="Norman"/>
  </r>
  <r>
    <x v="15"/>
    <x v="0"/>
    <x v="239"/>
    <s v="Intern"/>
    <m/>
    <s v="Norman"/>
  </r>
  <r>
    <x v="15"/>
    <x v="0"/>
    <x v="240"/>
    <s v="Intern"/>
    <m/>
    <s v="Norman"/>
  </r>
  <r>
    <x v="15"/>
    <x v="0"/>
    <x v="241"/>
    <s v="Intern"/>
    <m/>
    <s v="Norman"/>
  </r>
  <r>
    <x v="15"/>
    <x v="0"/>
    <x v="242"/>
    <s v="Intern"/>
    <m/>
    <s v="Norman"/>
  </r>
  <r>
    <x v="15"/>
    <x v="0"/>
    <x v="243"/>
    <s v="Intern"/>
    <m/>
    <s v="Norman"/>
  </r>
  <r>
    <x v="15"/>
    <x v="0"/>
    <x v="244"/>
    <s v="Intern"/>
    <m/>
    <s v="Norman"/>
  </r>
  <r>
    <x v="15"/>
    <x v="0"/>
    <x v="245"/>
    <s v="Intern"/>
    <m/>
    <s v="Norman"/>
  </r>
  <r>
    <x v="15"/>
    <x v="0"/>
    <x v="246"/>
    <s v="Intern"/>
    <m/>
    <s v="Norman"/>
  </r>
  <r>
    <x v="15"/>
    <x v="0"/>
    <x v="247"/>
    <s v="Intern"/>
    <m/>
    <s v="Norman"/>
  </r>
  <r>
    <x v="15"/>
    <x v="0"/>
    <x v="248"/>
    <s v="Intern"/>
    <m/>
    <s v="Norman"/>
  </r>
  <r>
    <x v="15"/>
    <x v="1"/>
    <x v="224"/>
    <s v="Team Lead"/>
    <m/>
    <s v="Norman"/>
  </r>
  <r>
    <x v="15"/>
    <x v="1"/>
    <x v="249"/>
    <s v="Intern"/>
    <m/>
    <s v="Norman"/>
  </r>
  <r>
    <x v="15"/>
    <x v="1"/>
    <x v="250"/>
    <s v="Intern"/>
    <m/>
    <s v="Norman"/>
  </r>
  <r>
    <x v="15"/>
    <x v="1"/>
    <x v="251"/>
    <s v="Intern"/>
    <m/>
    <s v="Norman"/>
  </r>
  <r>
    <x v="15"/>
    <x v="1"/>
    <x v="252"/>
    <s v="Intern"/>
    <m/>
    <s v="Norman"/>
  </r>
  <r>
    <x v="15"/>
    <x v="2"/>
    <x v="197"/>
    <s v="Team Lead"/>
    <m/>
    <s v="Norman"/>
  </r>
  <r>
    <x v="15"/>
    <x v="2"/>
    <x v="253"/>
    <s v="Intern"/>
    <m/>
    <s v="Norman"/>
  </r>
  <r>
    <x v="15"/>
    <x v="2"/>
    <x v="254"/>
    <s v="Intern"/>
    <m/>
    <s v="Norman"/>
  </r>
  <r>
    <x v="15"/>
    <x v="2"/>
    <x v="255"/>
    <s v="Intern"/>
    <m/>
    <s v="Norman"/>
  </r>
  <r>
    <x v="15"/>
    <x v="4"/>
    <x v="211"/>
    <s v="Team Lead"/>
    <m/>
    <s v="Norman"/>
  </r>
  <r>
    <x v="15"/>
    <x v="4"/>
    <x v="256"/>
    <s v="Intern"/>
    <m/>
    <s v="Norman"/>
  </r>
  <r>
    <x v="15"/>
    <x v="4"/>
    <x v="257"/>
    <s v="Intern"/>
    <m/>
    <s v="Norman"/>
  </r>
  <r>
    <x v="15"/>
    <x v="4"/>
    <x v="258"/>
    <s v="Intern"/>
    <m/>
    <s v="Norman"/>
  </r>
  <r>
    <x v="15"/>
    <x v="4"/>
    <x v="259"/>
    <s v="Intern"/>
    <m/>
    <s v="Norman"/>
  </r>
  <r>
    <x v="15"/>
    <x v="5"/>
    <x v="231"/>
    <s v="Team Lead"/>
    <m/>
    <s v="Tulsa"/>
  </r>
  <r>
    <x v="15"/>
    <x v="5"/>
    <x v="260"/>
    <s v="Intern"/>
    <m/>
    <s v="Tulsa"/>
  </r>
  <r>
    <x v="15"/>
    <x v="5"/>
    <x v="261"/>
    <s v="Intern"/>
    <m/>
    <s v="Tulsa"/>
  </r>
  <r>
    <x v="15"/>
    <x v="5"/>
    <x v="262"/>
    <s v="Intern"/>
    <m/>
    <s v="Tulsa"/>
  </r>
  <r>
    <x v="15"/>
    <x v="5"/>
    <x v="263"/>
    <s v="Intern"/>
    <m/>
    <s v="Tulsa"/>
  </r>
  <r>
    <x v="15"/>
    <x v="5"/>
    <x v="264"/>
    <s v="Intern"/>
    <m/>
    <s v="Tulsa"/>
  </r>
  <r>
    <x v="15"/>
    <x v="5"/>
    <x v="265"/>
    <s v="Intern"/>
    <m/>
    <s v="Tulsa"/>
  </r>
  <r>
    <x v="15"/>
    <x v="6"/>
    <x v="236"/>
    <s v="Team Lead"/>
    <m/>
    <s v="Norman"/>
  </r>
  <r>
    <x v="15"/>
    <x v="6"/>
    <x v="266"/>
    <s v="Intern"/>
    <m/>
    <s v="Norman"/>
  </r>
  <r>
    <x v="15"/>
    <x v="6"/>
    <x v="267"/>
    <s v="Intern"/>
    <m/>
    <s v="Norman"/>
  </r>
  <r>
    <x v="15"/>
    <x v="6"/>
    <x v="268"/>
    <s v="Intern"/>
    <m/>
    <s v="Norman"/>
  </r>
  <r>
    <x v="15"/>
    <x v="3"/>
    <x v="97"/>
    <s v="Executive Director"/>
    <m/>
    <s v="Norman"/>
  </r>
  <r>
    <x v="15"/>
    <x v="3"/>
    <x v="237"/>
    <s v="Director"/>
    <m/>
    <s v="Norman"/>
  </r>
  <r>
    <x v="15"/>
    <x v="3"/>
    <x v="120"/>
    <s v="Program Manager"/>
    <m/>
    <s v="Norman"/>
  </r>
  <r>
    <x v="15"/>
    <x v="3"/>
    <x v="78"/>
    <s v="Program Manager"/>
    <m/>
    <s v="Norman"/>
  </r>
  <r>
    <x v="15"/>
    <x v="3"/>
    <x v="182"/>
    <s v="Fellow"/>
    <m/>
    <s v="Norman"/>
  </r>
  <r>
    <x v="15"/>
    <x v="3"/>
    <x v="197"/>
    <s v="Fellow"/>
    <m/>
    <s v="Norman"/>
  </r>
  <r>
    <x v="16"/>
    <x v="0"/>
    <x v="239"/>
    <s v="Team Lead"/>
    <m/>
    <s v="Norman"/>
  </r>
  <r>
    <x v="16"/>
    <x v="0"/>
    <x v="269"/>
    <s v="Intern"/>
    <m/>
    <s v="Norman"/>
  </r>
  <r>
    <x v="16"/>
    <x v="0"/>
    <x v="270"/>
    <s v="Intern"/>
    <m/>
    <s v="Norman"/>
  </r>
  <r>
    <x v="16"/>
    <x v="0"/>
    <x v="271"/>
    <s v="Intern"/>
    <m/>
    <s v="Norman"/>
  </r>
  <r>
    <x v="16"/>
    <x v="0"/>
    <x v="272"/>
    <s v="Intern"/>
    <m/>
    <s v="Norman"/>
  </r>
  <r>
    <x v="16"/>
    <x v="1"/>
    <x v="247"/>
    <s v="Team Lead"/>
    <m/>
    <s v="Norman"/>
  </r>
  <r>
    <x v="16"/>
    <x v="1"/>
    <x v="273"/>
    <s v="Intern"/>
    <m/>
    <s v="Norman"/>
  </r>
  <r>
    <x v="16"/>
    <x v="1"/>
    <x v="274"/>
    <s v="Intern"/>
    <m/>
    <s v="Norman"/>
  </r>
  <r>
    <x v="16"/>
    <x v="1"/>
    <x v="275"/>
    <s v="Intern"/>
    <m/>
    <s v="Norman"/>
  </r>
  <r>
    <x v="16"/>
    <x v="1"/>
    <x v="276"/>
    <s v="Intern"/>
    <m/>
    <s v="Norman"/>
  </r>
  <r>
    <x v="16"/>
    <x v="1"/>
    <x v="277"/>
    <s v="Intern"/>
    <m/>
    <s v="Norman"/>
  </r>
  <r>
    <x v="16"/>
    <x v="1"/>
    <x v="278"/>
    <s v="Intern"/>
    <m/>
    <s v="Norman"/>
  </r>
  <r>
    <x v="16"/>
    <x v="1"/>
    <x v="279"/>
    <s v="Intern"/>
    <m/>
    <s v="Norman"/>
  </r>
  <r>
    <x v="16"/>
    <x v="2"/>
    <x v="223"/>
    <s v="Team Lead"/>
    <m/>
    <s v="Norman"/>
  </r>
  <r>
    <x v="16"/>
    <x v="2"/>
    <x v="280"/>
    <s v="Intern"/>
    <m/>
    <s v="Norman"/>
  </r>
  <r>
    <x v="16"/>
    <x v="2"/>
    <x v="281"/>
    <s v="Intern"/>
    <m/>
    <s v="Norman"/>
  </r>
  <r>
    <x v="16"/>
    <x v="2"/>
    <x v="282"/>
    <s v="Intern"/>
    <m/>
    <s v="Norman"/>
  </r>
  <r>
    <x v="16"/>
    <x v="4"/>
    <x v="230"/>
    <s v="Team Lead"/>
    <m/>
    <s v="Norman"/>
  </r>
  <r>
    <x v="16"/>
    <x v="4"/>
    <x v="283"/>
    <s v="Intern"/>
    <m/>
    <s v="Norman"/>
  </r>
  <r>
    <x v="16"/>
    <x v="4"/>
    <x v="284"/>
    <s v="Intern"/>
    <m/>
    <s v="Norman"/>
  </r>
  <r>
    <x v="16"/>
    <x v="4"/>
    <x v="285"/>
    <s v="Intern"/>
    <m/>
    <s v="Norman"/>
  </r>
  <r>
    <x v="16"/>
    <x v="4"/>
    <x v="286"/>
    <s v="Intern"/>
    <m/>
    <s v="Norman"/>
  </r>
  <r>
    <x v="16"/>
    <x v="7"/>
    <x v="255"/>
    <s v="Team Lead"/>
    <m/>
    <s v="Norman"/>
  </r>
  <r>
    <x v="16"/>
    <x v="7"/>
    <x v="287"/>
    <s v="Intern"/>
    <m/>
    <s v="Norman"/>
  </r>
  <r>
    <x v="16"/>
    <x v="7"/>
    <x v="288"/>
    <s v="Intern"/>
    <m/>
    <s v="Norman"/>
  </r>
  <r>
    <x v="16"/>
    <x v="7"/>
    <x v="289"/>
    <s v="Intern"/>
    <m/>
    <s v="Norman"/>
  </r>
  <r>
    <x v="16"/>
    <x v="7"/>
    <x v="290"/>
    <s v="Intern"/>
    <m/>
    <s v="Norman"/>
  </r>
  <r>
    <x v="16"/>
    <x v="5"/>
    <x v="264"/>
    <s v="Team Lead"/>
    <m/>
    <s v="Tulsa"/>
  </r>
  <r>
    <x v="16"/>
    <x v="5"/>
    <x v="291"/>
    <s v="Intern"/>
    <m/>
    <s v="Tulsa"/>
  </r>
  <r>
    <x v="16"/>
    <x v="5"/>
    <x v="292"/>
    <s v="Intern"/>
    <m/>
    <s v="Tulsa"/>
  </r>
  <r>
    <x v="16"/>
    <x v="5"/>
    <x v="293"/>
    <s v="Intern"/>
    <m/>
    <s v="Tulsa"/>
  </r>
  <r>
    <x v="16"/>
    <x v="5"/>
    <x v="294"/>
    <s v="Intern"/>
    <m/>
    <s v="Tulsa"/>
  </r>
  <r>
    <x v="16"/>
    <x v="5"/>
    <x v="295"/>
    <s v="Intern"/>
    <m/>
    <s v="Tulsa"/>
  </r>
  <r>
    <x v="16"/>
    <x v="6"/>
    <x v="268"/>
    <s v="Team Lead"/>
    <m/>
    <s v="Norman"/>
  </r>
  <r>
    <x v="16"/>
    <x v="6"/>
    <x v="296"/>
    <s v="Intern"/>
    <m/>
    <s v="Norman"/>
  </r>
  <r>
    <x v="16"/>
    <x v="6"/>
    <x v="297"/>
    <s v="Intern"/>
    <m/>
    <s v="Norman"/>
  </r>
  <r>
    <x v="16"/>
    <x v="3"/>
    <x v="97"/>
    <s v="Executive Director"/>
    <m/>
    <s v="Norman"/>
  </r>
  <r>
    <x v="16"/>
    <x v="3"/>
    <x v="237"/>
    <s v="Director"/>
    <m/>
    <s v="Norman"/>
  </r>
  <r>
    <x v="16"/>
    <x v="3"/>
    <x v="120"/>
    <s v="Director of Tulsa"/>
    <m/>
    <s v="Norman"/>
  </r>
  <r>
    <x v="16"/>
    <x v="3"/>
    <x v="78"/>
    <s v="Director"/>
    <m/>
    <s v="Norman"/>
  </r>
  <r>
    <x v="16"/>
    <x v="3"/>
    <x v="182"/>
    <s v="Fellow"/>
    <m/>
    <s v="Norman"/>
  </r>
  <r>
    <x v="16"/>
    <x v="3"/>
    <x v="206"/>
    <s v="Fellow"/>
    <m/>
    <s v="Norman"/>
  </r>
  <r>
    <x v="17"/>
    <x v="0"/>
    <x v="272"/>
    <s v="Team Lead"/>
    <m/>
    <s v="Norman"/>
  </r>
  <r>
    <x v="17"/>
    <x v="0"/>
    <x v="273"/>
    <s v="Team Lead"/>
    <m/>
    <s v="Norman"/>
  </r>
  <r>
    <x v="17"/>
    <x v="0"/>
    <x v="298"/>
    <s v="Intern"/>
    <m/>
    <s v="Norman"/>
  </r>
  <r>
    <x v="17"/>
    <x v="0"/>
    <x v="299"/>
    <s v="Intern"/>
    <m/>
    <s v="Norman"/>
  </r>
  <r>
    <x v="17"/>
    <x v="0"/>
    <x v="300"/>
    <s v="Intern"/>
    <m/>
    <s v="Norman"/>
  </r>
  <r>
    <x v="17"/>
    <x v="0"/>
    <x v="301"/>
    <s v="Intern"/>
    <m/>
    <s v="Norman"/>
  </r>
  <r>
    <x v="17"/>
    <x v="0"/>
    <x v="302"/>
    <s v="Intern"/>
    <m/>
    <s v="Norman"/>
  </r>
  <r>
    <x v="17"/>
    <x v="0"/>
    <x v="303"/>
    <s v="Intern"/>
    <m/>
    <s v="Norman"/>
  </r>
  <r>
    <x v="17"/>
    <x v="0"/>
    <x v="304"/>
    <s v="Intern"/>
    <m/>
    <s v="Norman"/>
  </r>
  <r>
    <x v="17"/>
    <x v="0"/>
    <x v="305"/>
    <s v="Intern"/>
    <m/>
    <s v="Norman"/>
  </r>
  <r>
    <x v="17"/>
    <x v="1"/>
    <x v="280"/>
    <s v="Team Lead"/>
    <m/>
    <s v="Norman"/>
  </r>
  <r>
    <x v="17"/>
    <x v="1"/>
    <x v="306"/>
    <s v="Intern"/>
    <m/>
    <s v="Norman"/>
  </r>
  <r>
    <x v="17"/>
    <x v="1"/>
    <x v="307"/>
    <s v="Intern"/>
    <m/>
    <s v="Norman"/>
  </r>
  <r>
    <x v="17"/>
    <x v="1"/>
    <x v="308"/>
    <s v="Intern"/>
    <m/>
    <s v="Norman"/>
  </r>
  <r>
    <x v="17"/>
    <x v="1"/>
    <x v="309"/>
    <s v="Intern"/>
    <m/>
    <s v="Norman"/>
  </r>
  <r>
    <x v="17"/>
    <x v="2"/>
    <x v="229"/>
    <s v="Team Lead"/>
    <m/>
    <s v="Norman"/>
  </r>
  <r>
    <x v="17"/>
    <x v="2"/>
    <x v="310"/>
    <s v="Intern"/>
    <m/>
    <s v="Norman"/>
  </r>
  <r>
    <x v="17"/>
    <x v="2"/>
    <x v="311"/>
    <s v="Intern"/>
    <m/>
    <s v="Norman"/>
  </r>
  <r>
    <x v="17"/>
    <x v="4"/>
    <x v="285"/>
    <s v="Team Lead"/>
    <m/>
    <s v="Norman"/>
  </r>
  <r>
    <x v="17"/>
    <x v="4"/>
    <x v="312"/>
    <s v="Intern"/>
    <m/>
    <s v="Norman"/>
  </r>
  <r>
    <x v="17"/>
    <x v="4"/>
    <x v="313"/>
    <s v="Intern"/>
    <m/>
    <s v="Norman"/>
  </r>
  <r>
    <x v="17"/>
    <x v="4"/>
    <x v="314"/>
    <s v="Intern"/>
    <m/>
    <s v="Norman"/>
  </r>
  <r>
    <x v="17"/>
    <x v="4"/>
    <x v="315"/>
    <s v="Intern"/>
    <m/>
    <s v="Norman"/>
  </r>
  <r>
    <x v="17"/>
    <x v="5"/>
    <x v="260"/>
    <s v="Team Lead"/>
    <m/>
    <s v="Tulsa"/>
  </r>
  <r>
    <x v="17"/>
    <x v="5"/>
    <x v="316"/>
    <s v="Intern"/>
    <m/>
    <s v="Tulsa"/>
  </r>
  <r>
    <x v="17"/>
    <x v="5"/>
    <x v="317"/>
    <s v="Intern"/>
    <m/>
    <s v="Tulsa"/>
  </r>
  <r>
    <x v="17"/>
    <x v="5"/>
    <x v="318"/>
    <s v="Intern"/>
    <m/>
    <s v="Tulsa"/>
  </r>
  <r>
    <x v="17"/>
    <x v="6"/>
    <x v="319"/>
    <s v="Team Lead"/>
    <m/>
    <s v="Norman"/>
  </r>
  <r>
    <x v="17"/>
    <x v="6"/>
    <x v="320"/>
    <s v="Intern"/>
    <m/>
    <s v="Norman"/>
  </r>
  <r>
    <x v="17"/>
    <x v="6"/>
    <x v="321"/>
    <s v="Intern"/>
    <m/>
    <s v="Norman"/>
  </r>
  <r>
    <x v="17"/>
    <x v="6"/>
    <x v="322"/>
    <s v="Intern"/>
    <m/>
    <s v="Norman"/>
  </r>
  <r>
    <x v="17"/>
    <x v="3"/>
    <x v="97"/>
    <s v="Executive Director"/>
    <m/>
    <s v="Norman"/>
  </r>
  <r>
    <x v="17"/>
    <x v="3"/>
    <x v="237"/>
    <s v="Director"/>
    <m/>
    <s v="Norman"/>
  </r>
  <r>
    <x v="17"/>
    <x v="3"/>
    <x v="120"/>
    <s v="Director of Tulsa"/>
    <m/>
    <s v="Norman"/>
  </r>
  <r>
    <x v="17"/>
    <x v="3"/>
    <x v="78"/>
    <s v="Director"/>
    <m/>
    <s v="Norman"/>
  </r>
  <r>
    <x v="17"/>
    <x v="3"/>
    <x v="182"/>
    <s v="Fellow"/>
    <m/>
    <s v="Norman"/>
  </r>
  <r>
    <x v="17"/>
    <x v="3"/>
    <x v="206"/>
    <s v="Fellow"/>
    <m/>
    <s v="Norman"/>
  </r>
  <r>
    <x v="18"/>
    <x v="0"/>
    <x v="299"/>
    <s v="Team Lead"/>
    <m/>
    <s v="Norman"/>
  </r>
  <r>
    <x v="18"/>
    <x v="0"/>
    <x v="323"/>
    <s v="Intern"/>
    <m/>
    <s v="Norman"/>
  </r>
  <r>
    <x v="18"/>
    <x v="0"/>
    <x v="324"/>
    <s v="Intern"/>
    <m/>
    <s v="Norman"/>
  </r>
  <r>
    <x v="18"/>
    <x v="0"/>
    <x v="325"/>
    <s v="Intern"/>
    <m/>
    <s v="Norman"/>
  </r>
  <r>
    <x v="18"/>
    <x v="1"/>
    <x v="277"/>
    <s v="Team Lead"/>
    <m/>
    <s v="Norman"/>
  </r>
  <r>
    <x v="18"/>
    <x v="1"/>
    <x v="312"/>
    <s v="Team Lead"/>
    <m/>
    <s v="Norman"/>
  </r>
  <r>
    <x v="18"/>
    <x v="1"/>
    <x v="326"/>
    <s v="Intern"/>
    <m/>
    <s v="Norman"/>
  </r>
  <r>
    <x v="18"/>
    <x v="1"/>
    <x v="327"/>
    <s v="Intern"/>
    <m/>
    <s v="Norman"/>
  </r>
  <r>
    <x v="18"/>
    <x v="1"/>
    <x v="328"/>
    <s v="Intern"/>
    <m/>
    <s v="Norman"/>
  </r>
  <r>
    <x v="18"/>
    <x v="1"/>
    <x v="329"/>
    <s v="Intern"/>
    <m/>
    <s v="Norman"/>
  </r>
  <r>
    <x v="18"/>
    <x v="1"/>
    <x v="330"/>
    <s v="Intern"/>
    <m/>
    <s v="Norman"/>
  </r>
  <r>
    <x v="18"/>
    <x v="1"/>
    <x v="331"/>
    <s v="Intern"/>
    <m/>
    <s v="Norman"/>
  </r>
  <r>
    <x v="18"/>
    <x v="1"/>
    <x v="332"/>
    <s v="Intern"/>
    <m/>
    <s v="Norman"/>
  </r>
  <r>
    <x v="18"/>
    <x v="1"/>
    <x v="333"/>
    <s v="Intern"/>
    <m/>
    <s v="Norman"/>
  </r>
  <r>
    <x v="18"/>
    <x v="2"/>
    <x v="313"/>
    <s v="Team Lead"/>
    <m/>
    <s v="Norman"/>
  </r>
  <r>
    <x v="18"/>
    <x v="2"/>
    <x v="334"/>
    <s v="Intern"/>
    <m/>
    <s v="Norman"/>
  </r>
  <r>
    <x v="18"/>
    <x v="2"/>
    <x v="335"/>
    <s v="Intern"/>
    <m/>
    <s v="Norman"/>
  </r>
  <r>
    <x v="18"/>
    <x v="2"/>
    <x v="336"/>
    <s v="Intern"/>
    <m/>
    <s v="Norman"/>
  </r>
  <r>
    <x v="18"/>
    <x v="2"/>
    <x v="337"/>
    <s v="Intern"/>
    <m/>
    <s v="Norman"/>
  </r>
  <r>
    <x v="18"/>
    <x v="4"/>
    <x v="309"/>
    <s v="Team Lead"/>
    <m/>
    <s v="Norman"/>
  </r>
  <r>
    <x v="18"/>
    <x v="4"/>
    <x v="338"/>
    <s v="Intern"/>
    <m/>
    <s v="Norman"/>
  </r>
  <r>
    <x v="18"/>
    <x v="4"/>
    <x v="339"/>
    <s v="Intern"/>
    <m/>
    <s v="Norman"/>
  </r>
  <r>
    <x v="18"/>
    <x v="4"/>
    <x v="340"/>
    <s v="Intern"/>
    <m/>
    <s v="Norman"/>
  </r>
  <r>
    <x v="18"/>
    <x v="4"/>
    <x v="341"/>
    <s v="Intern"/>
    <m/>
    <s v="Norman"/>
  </r>
  <r>
    <x v="18"/>
    <x v="5"/>
    <x v="318"/>
    <s v="Team Lead"/>
    <m/>
    <s v="Tulsa"/>
  </r>
  <r>
    <x v="18"/>
    <x v="5"/>
    <x v="342"/>
    <s v="Intern"/>
    <m/>
    <s v="Tulsa"/>
  </r>
  <r>
    <x v="18"/>
    <x v="5"/>
    <x v="343"/>
    <s v="Intern"/>
    <m/>
    <s v="Tulsa"/>
  </r>
  <r>
    <x v="18"/>
    <x v="5"/>
    <x v="344"/>
    <s v="Intern"/>
    <m/>
    <s v="Tulsa"/>
  </r>
  <r>
    <x v="18"/>
    <x v="6"/>
    <x v="321"/>
    <s v="Team Lead"/>
    <m/>
    <s v="Norman"/>
  </r>
  <r>
    <x v="18"/>
    <x v="6"/>
    <x v="345"/>
    <s v="Intern"/>
    <m/>
    <s v="Norman"/>
  </r>
  <r>
    <x v="18"/>
    <x v="6"/>
    <x v="346"/>
    <s v="Intern"/>
    <m/>
    <s v="Norman"/>
  </r>
  <r>
    <x v="18"/>
    <x v="6"/>
    <x v="347"/>
    <s v="Intern"/>
    <m/>
    <s v="Norman"/>
  </r>
  <r>
    <x v="18"/>
    <x v="6"/>
    <x v="348"/>
    <s v="Intern"/>
    <m/>
    <s v="Norman"/>
  </r>
  <r>
    <x v="18"/>
    <x v="3"/>
    <x v="97"/>
    <s v="Executive Director"/>
    <m/>
    <s v="Norman"/>
  </r>
  <r>
    <x v="18"/>
    <x v="3"/>
    <x v="237"/>
    <s v="Director"/>
    <m/>
    <s v="Norman"/>
  </r>
  <r>
    <x v="18"/>
    <x v="3"/>
    <x v="120"/>
    <s v="Director of Tulsa"/>
    <m/>
    <s v="Norman"/>
  </r>
  <r>
    <x v="18"/>
    <x v="3"/>
    <x v="182"/>
    <s v="Program Manager"/>
    <m/>
    <s v="Norman"/>
  </r>
  <r>
    <x v="18"/>
    <x v="3"/>
    <x v="316"/>
    <s v="Fellow"/>
    <m/>
    <s v="Norman"/>
  </r>
  <r>
    <x v="18"/>
    <x v="3"/>
    <x v="206"/>
    <s v="Fellow"/>
    <m/>
    <s v="Norman"/>
  </r>
  <r>
    <x v="19"/>
    <x v="8"/>
    <x v="315"/>
    <s v="Team Lead"/>
    <s v="VR"/>
    <s v="Norman"/>
  </r>
  <r>
    <x v="19"/>
    <x v="8"/>
    <x v="349"/>
    <s v="Intern"/>
    <s v="VR"/>
    <s v="Norman"/>
  </r>
  <r>
    <x v="19"/>
    <x v="8"/>
    <x v="350"/>
    <s v="Intern"/>
    <s v="VR"/>
    <s v="Norman"/>
  </r>
  <r>
    <x v="19"/>
    <x v="8"/>
    <x v="351"/>
    <s v="Intern"/>
    <s v="VR"/>
    <s v="Norman"/>
  </r>
  <r>
    <x v="19"/>
    <x v="8"/>
    <x v="352"/>
    <s v="Intern"/>
    <s v="VR"/>
    <s v="Norman"/>
  </r>
  <r>
    <x v="19"/>
    <x v="6"/>
    <x v="347"/>
    <s v="Team Lead"/>
    <m/>
    <s v="Norman"/>
  </r>
  <r>
    <x v="19"/>
    <x v="6"/>
    <x v="353"/>
    <s v="Intern"/>
    <m/>
    <s v="Norman"/>
  </r>
  <r>
    <x v="19"/>
    <x v="6"/>
    <x v="354"/>
    <s v="Intern"/>
    <m/>
    <s v="Norman"/>
  </r>
  <r>
    <x v="19"/>
    <x v="6"/>
    <x v="355"/>
    <s v="Intern"/>
    <m/>
    <s v="Norman"/>
  </r>
  <r>
    <x v="19"/>
    <x v="6"/>
    <x v="356"/>
    <s v="Intern"/>
    <m/>
    <s v="Norman"/>
  </r>
  <r>
    <x v="19"/>
    <x v="9"/>
    <x v="334"/>
    <s v="Team Lead"/>
    <s v="PinYing"/>
    <s v="Norman"/>
  </r>
  <r>
    <x v="19"/>
    <x v="9"/>
    <x v="357"/>
    <s v="Intern"/>
    <s v="PinYing"/>
    <s v="Norman"/>
  </r>
  <r>
    <x v="19"/>
    <x v="9"/>
    <x v="358"/>
    <s v="Intern"/>
    <s v="PinYing"/>
    <s v="Norman"/>
  </r>
  <r>
    <x v="19"/>
    <x v="9"/>
    <x v="359"/>
    <s v="Intern"/>
    <s v="PinYing"/>
    <s v="Norman"/>
  </r>
  <r>
    <x v="19"/>
    <x v="9"/>
    <x v="360"/>
    <s v="Intern"/>
    <s v="PinYing"/>
    <s v="Norman"/>
  </r>
  <r>
    <x v="19"/>
    <x v="9"/>
    <x v="361"/>
    <s v="Intern"/>
    <s v="PinYing"/>
    <s v="Norman"/>
  </r>
  <r>
    <x v="19"/>
    <x v="10"/>
    <x v="333"/>
    <s v="Team Lead"/>
    <s v="PinYing"/>
    <s v="Norman"/>
  </r>
  <r>
    <x v="19"/>
    <x v="10"/>
    <x v="362"/>
    <s v="Intern"/>
    <s v="PinYing"/>
    <s v="Norman"/>
  </r>
  <r>
    <x v="19"/>
    <x v="10"/>
    <x v="363"/>
    <s v="Intern"/>
    <s v="PinYing"/>
    <s v="Norman"/>
  </r>
  <r>
    <x v="19"/>
    <x v="10"/>
    <x v="364"/>
    <s v="Intern"/>
    <s v="PinYing"/>
    <s v="Norman"/>
  </r>
  <r>
    <x v="19"/>
    <x v="10"/>
    <x v="365"/>
    <s v="Intern"/>
    <s v="PinYing"/>
    <s v="Norman"/>
  </r>
  <r>
    <x v="19"/>
    <x v="11"/>
    <x v="328"/>
    <s v="Team Lead"/>
    <s v="Ames Zirconium"/>
    <s v="Norman"/>
  </r>
  <r>
    <x v="19"/>
    <x v="11"/>
    <x v="366"/>
    <s v="Intern"/>
    <s v="Ames Zirconium"/>
    <s v="Norman"/>
  </r>
  <r>
    <x v="19"/>
    <x v="11"/>
    <x v="367"/>
    <s v="Intern"/>
    <s v="Ames Zirconium"/>
    <s v="Norman"/>
  </r>
  <r>
    <x v="19"/>
    <x v="11"/>
    <x v="368"/>
    <s v="Intern"/>
    <s v="Ames Zirconium"/>
    <s v="Norman"/>
  </r>
  <r>
    <x v="19"/>
    <x v="11"/>
    <x v="369"/>
    <s v="Intern"/>
    <s v="Ames Zirconium"/>
    <s v="Norman"/>
  </r>
  <r>
    <x v="19"/>
    <x v="12"/>
    <x v="370"/>
    <s v="Team Lead"/>
    <s v="Drone Games"/>
    <s v="Norman"/>
  </r>
  <r>
    <x v="19"/>
    <x v="12"/>
    <x v="371"/>
    <s v="Intern"/>
    <s v="Drone Games"/>
    <s v="Norman"/>
  </r>
  <r>
    <x v="19"/>
    <x v="12"/>
    <x v="372"/>
    <s v="Intern"/>
    <s v="Drone Games"/>
    <s v="Norman"/>
  </r>
  <r>
    <x v="19"/>
    <x v="12"/>
    <x v="373"/>
    <s v="Intern"/>
    <s v="Drone Games"/>
    <s v="Norman"/>
  </r>
  <r>
    <x v="19"/>
    <x v="12"/>
    <x v="374"/>
    <s v="Intern"/>
    <s v="Drone Games"/>
    <s v="Norman"/>
  </r>
  <r>
    <x v="19"/>
    <x v="5"/>
    <x v="344"/>
    <s v="Team Lead"/>
    <s v="Healthcare Incubator"/>
    <s v="Tulsa"/>
  </r>
  <r>
    <x v="19"/>
    <x v="5"/>
    <x v="375"/>
    <s v="Intern"/>
    <s v="Healthcare Incubator"/>
    <s v="Tulsa"/>
  </r>
  <r>
    <x v="19"/>
    <x v="5"/>
    <x v="376"/>
    <s v="Intern"/>
    <s v="Healthcare Incubator"/>
    <s v="Tulsa"/>
  </r>
  <r>
    <x v="19"/>
    <x v="5"/>
    <x v="377"/>
    <s v="Intern"/>
    <s v="Healthcare Incubator"/>
    <s v="Tulsa"/>
  </r>
  <r>
    <x v="19"/>
    <x v="5"/>
    <x v="378"/>
    <s v="Intern"/>
    <s v="Healthcare Incubator"/>
    <s v="Tulsa"/>
  </r>
  <r>
    <x v="19"/>
    <x v="3"/>
    <x v="316"/>
    <s v="Fellow"/>
    <m/>
    <s v="Norman"/>
  </r>
  <r>
    <x v="19"/>
    <x v="3"/>
    <x v="206"/>
    <s v="Fellow"/>
    <m/>
    <s v="Norman"/>
  </r>
  <r>
    <x v="19"/>
    <x v="3"/>
    <x v="78"/>
    <s v="Director"/>
    <m/>
    <s v="Norman"/>
  </r>
  <r>
    <x v="19"/>
    <x v="3"/>
    <x v="237"/>
    <s v="Director"/>
    <m/>
    <s v="Norman"/>
  </r>
  <r>
    <x v="19"/>
    <x v="3"/>
    <x v="182"/>
    <s v="Program Manager"/>
    <m/>
    <s v="Norman"/>
  </r>
  <r>
    <x v="19"/>
    <x v="3"/>
    <x v="379"/>
    <s v="Program Manager of The Mine"/>
    <m/>
    <s v="Norman"/>
  </r>
  <r>
    <x v="19"/>
    <x v="3"/>
    <x v="97"/>
    <s v="Executive Director"/>
    <m/>
    <s v="Norman"/>
  </r>
  <r>
    <x v="20"/>
    <x v="13"/>
    <x v="358"/>
    <s v="Team Lead"/>
    <s v="Pericosine Products"/>
    <s v="Norman"/>
  </r>
  <r>
    <x v="20"/>
    <x v="13"/>
    <x v="380"/>
    <s v="Intern"/>
    <s v="Pericosine Products"/>
    <s v="Norman"/>
  </r>
  <r>
    <x v="20"/>
    <x v="13"/>
    <x v="381"/>
    <s v="Intern"/>
    <s v="Pericosine Products"/>
    <s v="Norman"/>
  </r>
  <r>
    <x v="20"/>
    <x v="13"/>
    <x v="382"/>
    <s v="Intern"/>
    <s v="Pericosine Products"/>
    <s v="Norman"/>
  </r>
  <r>
    <x v="20"/>
    <x v="13"/>
    <x v="383"/>
    <s v="Intern"/>
    <s v="Pericosine Products"/>
    <s v="Norman"/>
  </r>
  <r>
    <x v="20"/>
    <x v="6"/>
    <x v="347"/>
    <s v="Team Lead"/>
    <m/>
    <s v="Norman"/>
  </r>
  <r>
    <x v="20"/>
    <x v="6"/>
    <x v="384"/>
    <s v="Intern"/>
    <m/>
    <s v="Norman"/>
  </r>
  <r>
    <x v="20"/>
    <x v="6"/>
    <x v="385"/>
    <s v="Intern"/>
    <m/>
    <s v="Norman"/>
  </r>
  <r>
    <x v="20"/>
    <x v="6"/>
    <x v="386"/>
    <s v="Intern"/>
    <m/>
    <s v="Norman"/>
  </r>
  <r>
    <x v="20"/>
    <x v="8"/>
    <x v="366"/>
    <s v="Team Lead"/>
    <s v="EDUCATE Zimbabwe"/>
    <s v="Norman"/>
  </r>
  <r>
    <x v="20"/>
    <x v="8"/>
    <x v="387"/>
    <s v="Intern"/>
    <s v="EDUCATE Zimbabwe"/>
    <s v="Norman"/>
  </r>
  <r>
    <x v="20"/>
    <x v="8"/>
    <x v="388"/>
    <s v="Intern"/>
    <s v="EDUCATE Zimbabwe"/>
    <s v="Norman"/>
  </r>
  <r>
    <x v="20"/>
    <x v="8"/>
    <x v="389"/>
    <s v="Intern"/>
    <s v="EDUCATE Zimbabwe"/>
    <s v="Norman"/>
  </r>
  <r>
    <x v="20"/>
    <x v="10"/>
    <x v="367"/>
    <s v="Team Lead"/>
    <s v="EMMA"/>
    <s v="Norman"/>
  </r>
  <r>
    <x v="20"/>
    <x v="10"/>
    <x v="390"/>
    <s v="Intern"/>
    <s v="EMMA"/>
    <s v="Norman"/>
  </r>
  <r>
    <x v="20"/>
    <x v="10"/>
    <x v="391"/>
    <s v="Intern"/>
    <s v="EMMA"/>
    <s v="Norman"/>
  </r>
  <r>
    <x v="20"/>
    <x v="10"/>
    <x v="392"/>
    <s v="Intern"/>
    <s v="EMMA"/>
    <s v="Norman"/>
  </r>
  <r>
    <x v="20"/>
    <x v="10"/>
    <x v="393"/>
    <s v="Intern"/>
    <s v="EMMA"/>
    <s v="Norman"/>
  </r>
  <r>
    <x v="20"/>
    <x v="10"/>
    <x v="330"/>
    <s v="Intern"/>
    <s v="EMMA"/>
    <s v="Norman"/>
  </r>
  <r>
    <x v="20"/>
    <x v="10"/>
    <x v="394"/>
    <s v="Intern"/>
    <s v="EMMA"/>
    <s v="Norman"/>
  </r>
  <r>
    <x v="20"/>
    <x v="10"/>
    <x v="395"/>
    <s v="Intern"/>
    <s v="EMMA"/>
    <s v="Norman"/>
  </r>
  <r>
    <x v="20"/>
    <x v="10"/>
    <x v="396"/>
    <s v="Intern"/>
    <s v="EMMA"/>
    <s v="Norman"/>
  </r>
  <r>
    <x v="20"/>
    <x v="10"/>
    <x v="397"/>
    <s v="Intern"/>
    <s v="EMMA"/>
    <s v="Norman"/>
  </r>
  <r>
    <x v="20"/>
    <x v="12"/>
    <x v="340"/>
    <s v="Team Lead"/>
    <s v="Team FREO"/>
    <s v="Norman"/>
  </r>
  <r>
    <x v="20"/>
    <x v="12"/>
    <x v="398"/>
    <s v="Intern"/>
    <s v="Team FREO"/>
    <s v="Norman"/>
  </r>
  <r>
    <x v="20"/>
    <x v="12"/>
    <x v="399"/>
    <s v="Intern"/>
    <s v="Team FREO"/>
    <s v="Norman"/>
  </r>
  <r>
    <x v="20"/>
    <x v="12"/>
    <x v="400"/>
    <s v="Intern"/>
    <s v="Team FREO"/>
    <s v="Norman"/>
  </r>
  <r>
    <x v="20"/>
    <x v="12"/>
    <x v="401"/>
    <s v="Intern"/>
    <s v="Team FREO"/>
    <s v="Norman"/>
  </r>
  <r>
    <x v="20"/>
    <x v="12"/>
    <x v="402"/>
    <s v="Intern"/>
    <s v="Team FREO"/>
    <s v="Norman"/>
  </r>
  <r>
    <x v="20"/>
    <x v="5"/>
    <x v="378"/>
    <s v="Team Lead"/>
    <s v="Search Fund Strategy"/>
    <s v="Tulsa"/>
  </r>
  <r>
    <x v="20"/>
    <x v="5"/>
    <x v="403"/>
    <s v="Intern"/>
    <s v="Search Fund Strategy"/>
    <s v="Tulsa"/>
  </r>
  <r>
    <x v="20"/>
    <x v="5"/>
    <x v="404"/>
    <s v="Intern"/>
    <s v="Search Fund Strategy"/>
    <s v="Tulsa"/>
  </r>
  <r>
    <x v="20"/>
    <x v="5"/>
    <x v="405"/>
    <s v="Intern"/>
    <s v="Search Fund Strategy"/>
    <s v="Tulsa"/>
  </r>
  <r>
    <x v="20"/>
    <x v="5"/>
    <x v="406"/>
    <s v="Intern"/>
    <s v="Search Fund Strategy"/>
    <s v="Tulsa"/>
  </r>
  <r>
    <x v="20"/>
    <x v="3"/>
    <x v="333"/>
    <s v="Fellow"/>
    <m/>
    <s v="Norman"/>
  </r>
  <r>
    <x v="20"/>
    <x v="3"/>
    <x v="316"/>
    <s v="Fellow"/>
    <m/>
    <s v="Norman"/>
  </r>
  <r>
    <x v="20"/>
    <x v="3"/>
    <x v="378"/>
    <s v="Fellow"/>
    <m/>
    <s v="Tulsa"/>
  </r>
  <r>
    <x v="20"/>
    <x v="3"/>
    <x v="182"/>
    <s v="Director"/>
    <m/>
    <s v="Norman"/>
  </r>
  <r>
    <x v="20"/>
    <x v="3"/>
    <x v="237"/>
    <s v="Director"/>
    <m/>
    <s v="Norman"/>
  </r>
  <r>
    <x v="20"/>
    <x v="3"/>
    <x v="407"/>
    <s v="Program Manager of The Mine"/>
    <m/>
    <s v="Tulsa"/>
  </r>
  <r>
    <x v="20"/>
    <x v="3"/>
    <x v="97"/>
    <s v="Executive Director"/>
    <m/>
    <s v="Norman"/>
  </r>
  <r>
    <x v="21"/>
    <x v="8"/>
    <x v="369"/>
    <s v="Team Lead"/>
    <s v="Tulsa Newcomer Services"/>
    <s v="Tulsa"/>
  </r>
  <r>
    <x v="21"/>
    <x v="8"/>
    <x v="408"/>
    <s v="Intern"/>
    <s v="Tulsa Newcomer Services"/>
    <s v="Tulsa"/>
  </r>
  <r>
    <x v="21"/>
    <x v="8"/>
    <x v="409"/>
    <s v="Intern"/>
    <s v="Tulsa Newcomer Services"/>
    <s v="Tulsa"/>
  </r>
  <r>
    <x v="21"/>
    <x v="8"/>
    <x v="410"/>
    <s v="Intern"/>
    <s v="Tulsa Newcomer Services"/>
    <s v="Tulsa"/>
  </r>
  <r>
    <x v="21"/>
    <x v="8"/>
    <x v="411"/>
    <s v="Intern"/>
    <s v="Tulsa Newcomer Services"/>
    <s v="Tulsa"/>
  </r>
  <r>
    <x v="21"/>
    <x v="6"/>
    <x v="345"/>
    <s v="Team Lead"/>
    <m/>
    <s v="Norman"/>
  </r>
  <r>
    <x v="21"/>
    <x v="6"/>
    <x v="412"/>
    <s v="Intern"/>
    <m/>
    <s v="Norman"/>
  </r>
  <r>
    <x v="21"/>
    <x v="6"/>
    <x v="413"/>
    <s v="Intern"/>
    <m/>
    <s v="Norman"/>
  </r>
  <r>
    <x v="21"/>
    <x v="6"/>
    <x v="414"/>
    <s v="Intern"/>
    <m/>
    <s v="Norman"/>
  </r>
  <r>
    <x v="21"/>
    <x v="6"/>
    <x v="415"/>
    <s v="Intern"/>
    <m/>
    <s v="Norman"/>
  </r>
  <r>
    <x v="21"/>
    <x v="11"/>
    <x v="382"/>
    <s v="Team Lead"/>
    <s v="Oklo"/>
    <s v="Norman"/>
  </r>
  <r>
    <x v="21"/>
    <x v="11"/>
    <x v="416"/>
    <s v="Intern"/>
    <s v="Oklo"/>
    <s v="Norman"/>
  </r>
  <r>
    <x v="21"/>
    <x v="11"/>
    <x v="417"/>
    <s v="Intern"/>
    <s v="Oklo"/>
    <s v="Norman"/>
  </r>
  <r>
    <x v="21"/>
    <x v="11"/>
    <x v="418"/>
    <s v="Intern"/>
    <s v="Oklo"/>
    <s v="Norman"/>
  </r>
  <r>
    <x v="21"/>
    <x v="11"/>
    <x v="419"/>
    <s v="Intern"/>
    <s v="Oklo"/>
    <s v="Norman"/>
  </r>
  <r>
    <x v="21"/>
    <x v="12"/>
    <x v="400"/>
    <s v="Team Lead"/>
    <s v="Welkin"/>
    <s v="Norman"/>
  </r>
  <r>
    <x v="21"/>
    <x v="12"/>
    <x v="420"/>
    <s v="Intern"/>
    <s v="Welkin"/>
    <s v="Norman"/>
  </r>
  <r>
    <x v="21"/>
    <x v="12"/>
    <x v="421"/>
    <s v="Intern"/>
    <s v="Welkin"/>
    <s v="Norman"/>
  </r>
  <r>
    <x v="21"/>
    <x v="12"/>
    <x v="422"/>
    <s v="Intern"/>
    <s v="Welkin"/>
    <s v="Norman"/>
  </r>
  <r>
    <x v="21"/>
    <x v="12"/>
    <x v="423"/>
    <s v="Intern"/>
    <s v="Welkin"/>
    <s v="Norman"/>
  </r>
  <r>
    <x v="21"/>
    <x v="9"/>
    <x v="390"/>
    <s v="Team Lead"/>
    <s v="Raw Space for Rent"/>
    <s v="Norman"/>
  </r>
  <r>
    <x v="21"/>
    <x v="9"/>
    <x v="424"/>
    <s v="Intern"/>
    <s v="Raw Space for Rent"/>
    <s v="Norman"/>
  </r>
  <r>
    <x v="21"/>
    <x v="9"/>
    <x v="425"/>
    <s v="Intern"/>
    <s v="Raw Space for Rent"/>
    <s v="Norman"/>
  </r>
  <r>
    <x v="21"/>
    <x v="9"/>
    <x v="426"/>
    <s v="Intern"/>
    <s v="Raw Space for Rent"/>
    <s v="Norman"/>
  </r>
  <r>
    <x v="21"/>
    <x v="9"/>
    <x v="427"/>
    <s v="Intern"/>
    <s v="Raw Space for Rent"/>
    <s v="Norman"/>
  </r>
  <r>
    <x v="21"/>
    <x v="10"/>
    <x v="396"/>
    <s v="Team Lead"/>
    <s v="Raw Space for Rent"/>
    <s v="Norman"/>
  </r>
  <r>
    <x v="21"/>
    <x v="10"/>
    <x v="428"/>
    <s v="Intern"/>
    <s v="Raw Space for Rent"/>
    <s v="Norman"/>
  </r>
  <r>
    <x v="21"/>
    <x v="10"/>
    <x v="429"/>
    <s v="Intern"/>
    <s v="Raw Space for Rent"/>
    <s v="Norman"/>
  </r>
  <r>
    <x v="21"/>
    <x v="10"/>
    <x v="430"/>
    <s v="Intern"/>
    <s v="Raw Space for Rent"/>
    <s v="Norman"/>
  </r>
  <r>
    <x v="21"/>
    <x v="10"/>
    <x v="431"/>
    <s v="Intern"/>
    <s v="Raw Space for Rent"/>
    <s v="Norman"/>
  </r>
  <r>
    <x v="21"/>
    <x v="5"/>
    <x v="432"/>
    <s v="Team Lead"/>
    <s v="Tele-PTSD"/>
    <s v="Tulsa"/>
  </r>
  <r>
    <x v="21"/>
    <x v="5"/>
    <x v="433"/>
    <s v="Intern"/>
    <s v="Tele-PTSD"/>
    <s v="Tulsa"/>
  </r>
  <r>
    <x v="21"/>
    <x v="5"/>
    <x v="434"/>
    <s v="Intern"/>
    <s v="Tele-PTSD"/>
    <s v="Tulsa"/>
  </r>
  <r>
    <x v="21"/>
    <x v="5"/>
    <x v="435"/>
    <s v="Intern"/>
    <s v="Tele-PTSD"/>
    <s v="Tulsa"/>
  </r>
  <r>
    <x v="21"/>
    <x v="5"/>
    <x v="436"/>
    <s v="Intern"/>
    <s v="Tele-PTSD"/>
    <s v="Tulsa"/>
  </r>
  <r>
    <x v="21"/>
    <x v="3"/>
    <x v="333"/>
    <s v="Fellow"/>
    <m/>
    <s v="Norman"/>
  </r>
  <r>
    <x v="21"/>
    <x v="3"/>
    <x v="316"/>
    <s v="Fellow"/>
    <m/>
    <s v="Norman"/>
  </r>
  <r>
    <x v="21"/>
    <x v="3"/>
    <x v="318"/>
    <s v="Fellow"/>
    <m/>
    <s v="Tulsa"/>
  </r>
  <r>
    <x v="21"/>
    <x v="3"/>
    <x v="182"/>
    <s v="Director"/>
    <m/>
    <s v="Norman"/>
  </r>
  <r>
    <x v="21"/>
    <x v="3"/>
    <x v="237"/>
    <s v="Director"/>
    <m/>
    <s v="Norman"/>
  </r>
  <r>
    <x v="21"/>
    <x v="3"/>
    <x v="407"/>
    <s v="Program Manager of The Mine"/>
    <m/>
    <s v="Tulsa"/>
  </r>
  <r>
    <x v="21"/>
    <x v="3"/>
    <x v="97"/>
    <s v="Executive Director"/>
    <m/>
    <s v="Norman"/>
  </r>
  <r>
    <x v="22"/>
    <x v="8"/>
    <x v="410"/>
    <s v="Team Lead"/>
    <s v="Common Cent"/>
    <s v="Norman"/>
  </r>
  <r>
    <x v="22"/>
    <x v="8"/>
    <x v="437"/>
    <s v="Intern"/>
    <s v="Common Cent"/>
    <s v="Norman"/>
  </r>
  <r>
    <x v="22"/>
    <x v="8"/>
    <x v="438"/>
    <s v="Intern"/>
    <s v="Common Cent"/>
    <s v="Norman"/>
  </r>
  <r>
    <x v="22"/>
    <x v="8"/>
    <x v="439"/>
    <s v="Intern"/>
    <s v="Common Cent"/>
    <s v="Norman"/>
  </r>
  <r>
    <x v="22"/>
    <x v="8"/>
    <x v="440"/>
    <s v="Intern"/>
    <s v="Common Cent"/>
    <s v="Norman"/>
  </r>
  <r>
    <x v="22"/>
    <x v="6"/>
    <x v="386"/>
    <s v="Team Lead"/>
    <m/>
    <s v="Norman"/>
  </r>
  <r>
    <x v="22"/>
    <x v="6"/>
    <x v="441"/>
    <s v="Intern"/>
    <m/>
    <s v="Norman"/>
  </r>
  <r>
    <x v="22"/>
    <x v="6"/>
    <x v="442"/>
    <s v="Intern"/>
    <m/>
    <s v="Norman"/>
  </r>
  <r>
    <x v="22"/>
    <x v="6"/>
    <x v="443"/>
    <s v="Intern"/>
    <m/>
    <s v="Norman"/>
  </r>
  <r>
    <x v="22"/>
    <x v="6"/>
    <x v="444"/>
    <s v="Intern"/>
    <m/>
    <s v="Norman"/>
  </r>
  <r>
    <x v="22"/>
    <x v="9"/>
    <x v="416"/>
    <s v="Team Lead"/>
    <s v="M-D Building Products"/>
    <s v="Norman"/>
  </r>
  <r>
    <x v="22"/>
    <x v="9"/>
    <x v="445"/>
    <s v="Intern"/>
    <s v="M-D Building Products"/>
    <s v="Norman"/>
  </r>
  <r>
    <x v="22"/>
    <x v="9"/>
    <x v="446"/>
    <s v="Intern"/>
    <s v="M-D Building Products"/>
    <s v="Norman"/>
  </r>
  <r>
    <x v="22"/>
    <x v="9"/>
    <x v="447"/>
    <s v="Intern"/>
    <s v="M-D Building Products"/>
    <s v="Norman"/>
  </r>
  <r>
    <x v="22"/>
    <x v="9"/>
    <x v="448"/>
    <s v="Intern"/>
    <s v="M-D Building Products"/>
    <s v="Norman"/>
  </r>
  <r>
    <x v="22"/>
    <x v="9"/>
    <x v="449"/>
    <s v="Intern"/>
    <s v="M-D Building Products"/>
    <s v="Norman"/>
  </r>
  <r>
    <x v="22"/>
    <x v="10"/>
    <x v="332"/>
    <s v="Team Lead"/>
    <s v="M-D Building Products"/>
    <s v="Norman"/>
  </r>
  <r>
    <x v="22"/>
    <x v="10"/>
    <x v="450"/>
    <s v="Intern"/>
    <s v="M-D Building Products"/>
    <s v="Norman"/>
  </r>
  <r>
    <x v="22"/>
    <x v="10"/>
    <x v="425"/>
    <s v="Intern"/>
    <s v="M-D Building Products"/>
    <s v="Norman"/>
  </r>
  <r>
    <x v="22"/>
    <x v="10"/>
    <x v="451"/>
    <s v="Intern"/>
    <s v="M-D Building Products"/>
    <s v="Norman"/>
  </r>
  <r>
    <x v="22"/>
    <x v="10"/>
    <x v="452"/>
    <s v="Intern"/>
    <s v="M-D Building Products"/>
    <s v="Norman"/>
  </r>
  <r>
    <x v="22"/>
    <x v="11"/>
    <x v="380"/>
    <s v="Team Lead"/>
    <s v="HydroVirga"/>
    <s v="Norman"/>
  </r>
  <r>
    <x v="22"/>
    <x v="11"/>
    <x v="453"/>
    <s v="Intern"/>
    <s v="HydroVirga"/>
    <s v="Norman"/>
  </r>
  <r>
    <x v="22"/>
    <x v="11"/>
    <x v="454"/>
    <s v="Intern"/>
    <s v="HydroVirga"/>
    <s v="Norman"/>
  </r>
  <r>
    <x v="22"/>
    <x v="11"/>
    <x v="455"/>
    <s v="Intern"/>
    <s v="HydroVirga"/>
    <s v="Norman"/>
  </r>
  <r>
    <x v="22"/>
    <x v="11"/>
    <x v="456"/>
    <s v="Intern"/>
    <s v="HydroVirga"/>
    <s v="Norman"/>
  </r>
  <r>
    <x v="22"/>
    <x v="12"/>
    <x v="457"/>
    <s v="Team Lead"/>
    <s v="BKeeper"/>
    <s v="Norman"/>
  </r>
  <r>
    <x v="22"/>
    <x v="12"/>
    <x v="458"/>
    <s v="Intern"/>
    <s v="BKeeper"/>
    <s v="Norman"/>
  </r>
  <r>
    <x v="22"/>
    <x v="12"/>
    <x v="459"/>
    <s v="Intern"/>
    <s v="BKeeper"/>
    <s v="Norman"/>
  </r>
  <r>
    <x v="22"/>
    <x v="12"/>
    <x v="460"/>
    <s v="Intern"/>
    <s v="BKeeper"/>
    <s v="Norman"/>
  </r>
  <r>
    <x v="22"/>
    <x v="12"/>
    <x v="461"/>
    <s v="Intern"/>
    <s v="BKeeper"/>
    <s v="Norman"/>
  </r>
  <r>
    <x v="22"/>
    <x v="12"/>
    <x v="462"/>
    <s v="Intern"/>
    <s v="BKeeper"/>
    <s v="Norman"/>
  </r>
  <r>
    <x v="22"/>
    <x v="5"/>
    <x v="434"/>
    <s v="Team Lead"/>
    <s v="RetEval: Diabetic Retinopathy Screening"/>
    <s v="Tulsa"/>
  </r>
  <r>
    <x v="22"/>
    <x v="5"/>
    <x v="463"/>
    <s v="Intern"/>
    <s v="RetEval: Diabetic Retinopathy Screening"/>
    <s v="Tulsa"/>
  </r>
  <r>
    <x v="22"/>
    <x v="5"/>
    <x v="464"/>
    <s v="Intern"/>
    <s v="RetEval: Diabetic Retinopathy Screening"/>
    <s v="Tulsa"/>
  </r>
  <r>
    <x v="22"/>
    <x v="5"/>
    <x v="465"/>
    <s v="Intern"/>
    <s v="RetEval: Diabetic Retinopathy Screening"/>
    <s v="Tulsa"/>
  </r>
  <r>
    <x v="22"/>
    <x v="14"/>
    <x v="299"/>
    <s v="Team Lead"/>
    <s v="Stephenson Cancer Center Rural Acces &amp; Outreach"/>
    <s v="OKC"/>
  </r>
  <r>
    <x v="22"/>
    <x v="14"/>
    <x v="466"/>
    <s v="Intern"/>
    <s v="Stephenson Cancer Center Rural Acces &amp; Outreach"/>
    <s v="OKC"/>
  </r>
  <r>
    <x v="22"/>
    <x v="14"/>
    <x v="467"/>
    <s v="Intern"/>
    <s v="Stephenson Cancer Center Rural Acces &amp; Outreach"/>
    <s v="OKC"/>
  </r>
  <r>
    <x v="22"/>
    <x v="14"/>
    <x v="468"/>
    <s v="Intern"/>
    <s v="Stephenson Cancer Center Rural Acces &amp; Outreach"/>
    <s v="OKC"/>
  </r>
  <r>
    <x v="22"/>
    <x v="14"/>
    <x v="469"/>
    <s v="Intern"/>
    <s v="Stephenson Cancer Center Rural Acces &amp; Outreach"/>
    <s v="OKC"/>
  </r>
  <r>
    <x v="22"/>
    <x v="3"/>
    <x v="333"/>
    <s v="Fellow"/>
    <m/>
    <s v="Norman"/>
  </r>
  <r>
    <x v="22"/>
    <x v="3"/>
    <x v="369"/>
    <s v="Fellow"/>
    <m/>
    <s v="Norman"/>
  </r>
  <r>
    <x v="22"/>
    <x v="3"/>
    <x v="400"/>
    <s v="Fellow"/>
    <m/>
    <s v="Norman"/>
  </r>
  <r>
    <x v="22"/>
    <x v="3"/>
    <x v="432"/>
    <s v="Fellow"/>
    <m/>
    <s v="Tulsa"/>
  </r>
  <r>
    <x v="22"/>
    <x v="3"/>
    <x v="182"/>
    <s v="Director of OKC"/>
    <m/>
    <s v="Norman"/>
  </r>
  <r>
    <x v="22"/>
    <x v="3"/>
    <x v="237"/>
    <s v="Director"/>
    <m/>
    <s v="Norman"/>
  </r>
  <r>
    <x v="22"/>
    <x v="3"/>
    <x v="316"/>
    <s v="Director of Norman"/>
    <m/>
    <s v="Norman"/>
  </r>
  <r>
    <x v="22"/>
    <x v="3"/>
    <x v="407"/>
    <s v="Director of Tulsa"/>
    <m/>
    <s v="Tulsa"/>
  </r>
  <r>
    <x v="22"/>
    <x v="3"/>
    <x v="97"/>
    <s v="Executive Director"/>
    <m/>
    <s v="Norman"/>
  </r>
  <r>
    <x v="23"/>
    <x v="8"/>
    <x v="439"/>
    <s v="Team Lead"/>
    <s v="MetaFund"/>
    <s v="Norman"/>
  </r>
  <r>
    <x v="23"/>
    <x v="8"/>
    <x v="470"/>
    <s v="Intern"/>
    <s v="MetaFund"/>
    <s v="Norman"/>
  </r>
  <r>
    <x v="23"/>
    <x v="8"/>
    <x v="471"/>
    <s v="Intern"/>
    <s v="MetaFund"/>
    <s v="Norman"/>
  </r>
  <r>
    <x v="23"/>
    <x v="8"/>
    <x v="472"/>
    <s v="Intern"/>
    <s v="MetaFund"/>
    <s v="Norman"/>
  </r>
  <r>
    <x v="23"/>
    <x v="8"/>
    <x v="473"/>
    <s v="Intern"/>
    <s v="MetaFund"/>
    <s v="Norman"/>
  </r>
  <r>
    <x v="23"/>
    <x v="6"/>
    <x v="444"/>
    <s v="Team Lead"/>
    <m/>
    <s v="Norman"/>
  </r>
  <r>
    <x v="23"/>
    <x v="6"/>
    <x v="474"/>
    <s v="Intern"/>
    <m/>
    <s v="Norman"/>
  </r>
  <r>
    <x v="23"/>
    <x v="6"/>
    <x v="475"/>
    <s v="Intern"/>
    <m/>
    <s v="Norman"/>
  </r>
  <r>
    <x v="23"/>
    <x v="6"/>
    <x v="476"/>
    <s v="Intern"/>
    <m/>
    <s v="Norman"/>
  </r>
  <r>
    <x v="23"/>
    <x v="6"/>
    <x v="477"/>
    <s v="Intern"/>
    <m/>
    <s v="Norman"/>
  </r>
  <r>
    <x v="23"/>
    <x v="9"/>
    <x v="454"/>
    <s v="Team Lead"/>
    <s v="Filtra Systems"/>
    <s v="Norman"/>
  </r>
  <r>
    <x v="23"/>
    <x v="9"/>
    <x v="478"/>
    <s v="Intern"/>
    <s v="Filtra Systems"/>
    <s v="Norman"/>
  </r>
  <r>
    <x v="23"/>
    <x v="9"/>
    <x v="479"/>
    <s v="Intern"/>
    <s v="Filtra Systems"/>
    <s v="Norman"/>
  </r>
  <r>
    <x v="23"/>
    <x v="9"/>
    <x v="480"/>
    <s v="Intern"/>
    <s v="Filtra Systems"/>
    <s v="Norman"/>
  </r>
  <r>
    <x v="23"/>
    <x v="9"/>
    <x v="481"/>
    <s v="Intern"/>
    <s v="Filtra Systems"/>
    <s v="Norman"/>
  </r>
  <r>
    <x v="23"/>
    <x v="10"/>
    <x v="482"/>
    <s v="Team Lead"/>
    <s v="Filtra Systems"/>
    <s v="Norman"/>
  </r>
  <r>
    <x v="23"/>
    <x v="10"/>
    <x v="483"/>
    <s v="Intern"/>
    <s v="Filtra Systems"/>
    <s v="Norman"/>
  </r>
  <r>
    <x v="23"/>
    <x v="10"/>
    <x v="484"/>
    <s v="Intern"/>
    <s v="Filtra Systems"/>
    <s v="Norman"/>
  </r>
  <r>
    <x v="23"/>
    <x v="10"/>
    <x v="485"/>
    <s v="Intern"/>
    <s v="Filtra Systems"/>
    <s v="Norman"/>
  </r>
  <r>
    <x v="23"/>
    <x v="10"/>
    <x v="486"/>
    <s v="Intern"/>
    <s v="Filtra Systems"/>
    <s v="Norman"/>
  </r>
  <r>
    <x v="23"/>
    <x v="13"/>
    <x v="357"/>
    <s v="Team Lead"/>
    <s v="Sea Drones"/>
    <s v="Norman"/>
  </r>
  <r>
    <x v="23"/>
    <x v="13"/>
    <x v="487"/>
    <s v="Intern"/>
    <s v="Sea Drones"/>
    <s v="Norman"/>
  </r>
  <r>
    <x v="23"/>
    <x v="13"/>
    <x v="488"/>
    <s v="Intern"/>
    <s v="Sea Drones"/>
    <s v="Norman"/>
  </r>
  <r>
    <x v="23"/>
    <x v="13"/>
    <x v="489"/>
    <s v="Intern"/>
    <s v="Sea Drones"/>
    <s v="Norman"/>
  </r>
  <r>
    <x v="23"/>
    <x v="13"/>
    <x v="490"/>
    <s v="Intern"/>
    <s v="Sea Drones"/>
    <s v="Norman"/>
  </r>
  <r>
    <x v="23"/>
    <x v="15"/>
    <x v="382"/>
    <s v="Team Lead"/>
    <s v="RKI Energy"/>
    <s v="Norman"/>
  </r>
  <r>
    <x v="23"/>
    <x v="15"/>
    <x v="491"/>
    <s v="Intern"/>
    <s v="RKI Energy"/>
    <s v="Norman"/>
  </r>
  <r>
    <x v="23"/>
    <x v="15"/>
    <x v="492"/>
    <s v="Intern"/>
    <s v="RKI Energy"/>
    <s v="Norman"/>
  </r>
  <r>
    <x v="23"/>
    <x v="15"/>
    <x v="493"/>
    <s v="Intern"/>
    <s v="RKI Energy"/>
    <s v="Norman"/>
  </r>
  <r>
    <x v="23"/>
    <x v="12"/>
    <x v="448"/>
    <s v="Team Lead"/>
    <s v="D-Rev"/>
    <s v="Norman"/>
  </r>
  <r>
    <x v="23"/>
    <x v="12"/>
    <x v="494"/>
    <s v="Intern"/>
    <s v="D-Rev"/>
    <s v="Norman"/>
  </r>
  <r>
    <x v="23"/>
    <x v="12"/>
    <x v="495"/>
    <s v="Intern"/>
    <s v="D-Rev"/>
    <s v="Norman"/>
  </r>
  <r>
    <x v="23"/>
    <x v="12"/>
    <x v="496"/>
    <s v="Intern"/>
    <s v="D-Rev"/>
    <s v="Norman"/>
  </r>
  <r>
    <x v="23"/>
    <x v="12"/>
    <x v="497"/>
    <s v="Intern"/>
    <s v="D-Rev"/>
    <s v="Norman"/>
  </r>
  <r>
    <x v="23"/>
    <x v="14"/>
    <x v="467"/>
    <s v="Team Lead"/>
    <s v="PET Imaging For Necrotic Tissue Identification"/>
    <s v="OKC"/>
  </r>
  <r>
    <x v="23"/>
    <x v="14"/>
    <x v="498"/>
    <s v="Intern"/>
    <s v="PET Imaging For Necrotic Tissue Identification"/>
    <s v="OKC"/>
  </r>
  <r>
    <x v="23"/>
    <x v="14"/>
    <x v="499"/>
    <s v="Intern"/>
    <s v="PET Imaging For Necrotic Tissue Identification"/>
    <s v="OKC"/>
  </r>
  <r>
    <x v="23"/>
    <x v="14"/>
    <x v="500"/>
    <s v="Intern"/>
    <s v="PET Imaging For Necrotic Tissue Identification"/>
    <s v="OKC"/>
  </r>
  <r>
    <x v="23"/>
    <x v="14"/>
    <x v="501"/>
    <s v="Intern"/>
    <s v="PET Imaging For Necrotic Tissue Identification"/>
    <s v="OKC"/>
  </r>
  <r>
    <x v="23"/>
    <x v="5"/>
    <x v="464"/>
    <s v="Team Lead"/>
    <s v="Allied Health"/>
    <s v="Tulsa"/>
  </r>
  <r>
    <x v="23"/>
    <x v="5"/>
    <x v="502"/>
    <s v="Intern"/>
    <s v="Allied Health"/>
    <s v="Tulsa"/>
  </r>
  <r>
    <x v="23"/>
    <x v="5"/>
    <x v="503"/>
    <s v="Intern"/>
    <s v="Allied Health"/>
    <s v="Tulsa"/>
  </r>
  <r>
    <x v="23"/>
    <x v="3"/>
    <x v="369"/>
    <s v="Fellow"/>
    <m/>
    <s v="Norman"/>
  </r>
  <r>
    <x v="23"/>
    <x v="3"/>
    <x v="400"/>
    <s v="Fellow"/>
    <m/>
    <s v="Norman"/>
  </r>
  <r>
    <x v="23"/>
    <x v="3"/>
    <x v="382"/>
    <s v="Fellow"/>
    <m/>
    <s v="Norman"/>
  </r>
  <r>
    <x v="23"/>
    <x v="3"/>
    <x v="432"/>
    <s v="Fellow"/>
    <m/>
    <s v="Tulsa"/>
  </r>
  <r>
    <x v="23"/>
    <x v="3"/>
    <x v="182"/>
    <s v="Director of OKC"/>
    <m/>
    <s v="Norman"/>
  </r>
  <r>
    <x v="23"/>
    <x v="3"/>
    <x v="237"/>
    <s v="Director"/>
    <m/>
    <s v="Norman"/>
  </r>
  <r>
    <x v="23"/>
    <x v="3"/>
    <x v="316"/>
    <s v="Director of Norman"/>
    <m/>
    <s v="Norman"/>
  </r>
  <r>
    <x v="23"/>
    <x v="3"/>
    <x v="407"/>
    <s v="Director of Tulsa"/>
    <m/>
    <s v="Tulsa"/>
  </r>
  <r>
    <x v="23"/>
    <x v="3"/>
    <x v="97"/>
    <s v="Executive Director"/>
    <m/>
    <s v="Norman"/>
  </r>
  <r>
    <x v="24"/>
    <x v="13"/>
    <x v="504"/>
    <s v="Team Lead"/>
    <s v="Buttons Technology"/>
    <s v="Norman"/>
  </r>
  <r>
    <x v="24"/>
    <x v="13"/>
    <x v="505"/>
    <s v="Intern"/>
    <s v="Buttons Technology"/>
    <s v="Norman"/>
  </r>
  <r>
    <x v="24"/>
    <x v="13"/>
    <x v="506"/>
    <s v="Intern"/>
    <s v="Buttons Technology"/>
    <s v="Norman"/>
  </r>
  <r>
    <x v="24"/>
    <x v="13"/>
    <x v="507"/>
    <s v="Intern"/>
    <s v="Buttons Technology"/>
    <s v="Norman"/>
  </r>
  <r>
    <x v="24"/>
    <x v="13"/>
    <x v="508"/>
    <s v="Intern"/>
    <s v="Buttons Technology"/>
    <s v="Norman"/>
  </r>
  <r>
    <x v="24"/>
    <x v="6"/>
    <x v="474"/>
    <s v="Team Lead"/>
    <m/>
    <s v="Norman"/>
  </r>
  <r>
    <x v="24"/>
    <x v="6"/>
    <x v="509"/>
    <s v="Intern"/>
    <m/>
    <s v="Norman"/>
  </r>
  <r>
    <x v="24"/>
    <x v="6"/>
    <x v="510"/>
    <s v="Intern"/>
    <m/>
    <s v="Norman"/>
  </r>
  <r>
    <x v="24"/>
    <x v="6"/>
    <x v="511"/>
    <s v="Intern"/>
    <m/>
    <s v="Norman"/>
  </r>
  <r>
    <x v="24"/>
    <x v="15"/>
    <x v="492"/>
    <s v="Team Lead"/>
    <s v="Exploration"/>
    <s v="Norman"/>
  </r>
  <r>
    <x v="24"/>
    <x v="15"/>
    <x v="512"/>
    <s v="Intern"/>
    <s v="Exploration"/>
    <s v="Norman"/>
  </r>
  <r>
    <x v="24"/>
    <x v="15"/>
    <x v="513"/>
    <s v="Intern"/>
    <s v="Exploration"/>
    <s v="Norman"/>
  </r>
  <r>
    <x v="24"/>
    <x v="15"/>
    <x v="514"/>
    <s v="Intern"/>
    <s v="Exploration"/>
    <s v="Norman"/>
  </r>
  <r>
    <x v="24"/>
    <x v="15"/>
    <x v="515"/>
    <s v="Intern"/>
    <s v="Exploration"/>
    <s v="Norman"/>
  </r>
  <r>
    <x v="24"/>
    <x v="12"/>
    <x v="495"/>
    <s v="Team Lead"/>
    <s v="Stanely Black&amp;Decker"/>
    <s v="Norman"/>
  </r>
  <r>
    <x v="24"/>
    <x v="12"/>
    <x v="516"/>
    <s v="Intern"/>
    <s v="Stanely Black&amp;Decker"/>
    <s v="Norman"/>
  </r>
  <r>
    <x v="24"/>
    <x v="12"/>
    <x v="517"/>
    <s v="Intern"/>
    <s v="Stanely Black&amp;Decker"/>
    <s v="Norman"/>
  </r>
  <r>
    <x v="24"/>
    <x v="12"/>
    <x v="518"/>
    <s v="Intern"/>
    <s v="Stanely Black&amp;Decker"/>
    <s v="Norman"/>
  </r>
  <r>
    <x v="24"/>
    <x v="12"/>
    <x v="519"/>
    <s v="Intern"/>
    <s v="Stanely Black&amp;Decker"/>
    <s v="Norman"/>
  </r>
  <r>
    <x v="24"/>
    <x v="8"/>
    <x v="437"/>
    <s v="Team Lead"/>
    <s v="Ocupath"/>
    <s v="Norman"/>
  </r>
  <r>
    <x v="24"/>
    <x v="8"/>
    <x v="520"/>
    <s v="Intern"/>
    <s v="Ocupath"/>
    <s v="Norman"/>
  </r>
  <r>
    <x v="24"/>
    <x v="8"/>
    <x v="521"/>
    <s v="Intern"/>
    <s v="Ocupath"/>
    <s v="Norman"/>
  </r>
  <r>
    <x v="24"/>
    <x v="8"/>
    <x v="522"/>
    <s v="Intern"/>
    <s v="Ocupath"/>
    <s v="Norman"/>
  </r>
  <r>
    <x v="24"/>
    <x v="8"/>
    <x v="523"/>
    <s v="Intern"/>
    <s v="Ocupath"/>
    <s v="Norman"/>
  </r>
  <r>
    <x v="24"/>
    <x v="9"/>
    <x v="443"/>
    <s v="Team Lead"/>
    <s v="Who's On My Wifi"/>
    <s v="Norman"/>
  </r>
  <r>
    <x v="24"/>
    <x v="9"/>
    <x v="524"/>
    <s v="Intern"/>
    <s v="Who's On My Wifi"/>
    <s v="Norman"/>
  </r>
  <r>
    <x v="24"/>
    <x v="9"/>
    <x v="525"/>
    <s v="Intern"/>
    <s v="Who's On My Wifi"/>
    <s v="Norman"/>
  </r>
  <r>
    <x v="24"/>
    <x v="9"/>
    <x v="526"/>
    <s v="Intern"/>
    <s v="Who's On My Wifi"/>
    <s v="Norman"/>
  </r>
  <r>
    <x v="24"/>
    <x v="9"/>
    <x v="527"/>
    <s v="Intern"/>
    <s v="Who's On My Wifi"/>
    <s v="Norman"/>
  </r>
  <r>
    <x v="24"/>
    <x v="10"/>
    <x v="483"/>
    <s v="Team Lead"/>
    <s v="Who's On My Wifi"/>
    <s v="Norman"/>
  </r>
  <r>
    <x v="24"/>
    <x v="10"/>
    <x v="479"/>
    <s v="Intern"/>
    <s v="Who's On My Wifi"/>
    <s v="Norman"/>
  </r>
  <r>
    <x v="24"/>
    <x v="10"/>
    <x v="528"/>
    <s v="Intern"/>
    <s v="Who's On My Wifi"/>
    <s v="Norman"/>
  </r>
  <r>
    <x v="24"/>
    <x v="10"/>
    <x v="529"/>
    <s v="Intern"/>
    <s v="Who's On My Wifi"/>
    <s v="Norman"/>
  </r>
  <r>
    <x v="24"/>
    <x v="10"/>
    <x v="530"/>
    <s v="Intern"/>
    <s v="Who's On My Wifi"/>
    <s v="Norman"/>
  </r>
  <r>
    <x v="24"/>
    <x v="10"/>
    <x v="531"/>
    <s v="Intern"/>
    <s v="Who's On My Wifi"/>
    <s v="Norman"/>
  </r>
  <r>
    <x v="24"/>
    <x v="10"/>
    <x v="532"/>
    <s v="Intern"/>
    <s v="Who's On My Wifi"/>
    <s v="Norman"/>
  </r>
  <r>
    <x v="24"/>
    <x v="14"/>
    <x v="501"/>
    <s v="Team Lead"/>
    <s v="Ultra Botanica"/>
    <s v="OKC"/>
  </r>
  <r>
    <x v="24"/>
    <x v="14"/>
    <x v="533"/>
    <s v="Intern"/>
    <s v="Ultra Botanica"/>
    <s v="OKC"/>
  </r>
  <r>
    <x v="24"/>
    <x v="14"/>
    <x v="534"/>
    <s v="Intern"/>
    <s v="Ultra Botanica"/>
    <s v="OKC"/>
  </r>
  <r>
    <x v="24"/>
    <x v="14"/>
    <x v="535"/>
    <s v="Intern"/>
    <s v="Ultra Botanica"/>
    <s v="OKC"/>
  </r>
  <r>
    <x v="24"/>
    <x v="14"/>
    <x v="499"/>
    <s v="Team Lead"/>
    <s v="Drug Delivery"/>
    <s v="OKC"/>
  </r>
  <r>
    <x v="24"/>
    <x v="14"/>
    <x v="536"/>
    <s v="Intern"/>
    <s v="Drug Delivery"/>
    <s v="OKC"/>
  </r>
  <r>
    <x v="24"/>
    <x v="14"/>
    <x v="537"/>
    <s v="Intern"/>
    <s v="Drug Delivery"/>
    <s v="OKC"/>
  </r>
  <r>
    <x v="24"/>
    <x v="14"/>
    <x v="538"/>
    <s v="Intern"/>
    <s v="Drug Delivery"/>
    <s v="OKC"/>
  </r>
  <r>
    <x v="24"/>
    <x v="5"/>
    <x v="539"/>
    <s v="Team Lead"/>
    <m/>
    <s v="Tulsa"/>
  </r>
  <r>
    <x v="24"/>
    <x v="5"/>
    <x v="540"/>
    <s v="Intern"/>
    <m/>
    <s v="Tulsa"/>
  </r>
  <r>
    <x v="24"/>
    <x v="5"/>
    <x v="541"/>
    <s v="Intern"/>
    <m/>
    <s v="Tulsa"/>
  </r>
  <r>
    <x v="24"/>
    <x v="5"/>
    <x v="542"/>
    <s v="Intern"/>
    <m/>
    <s v="Tulsa"/>
  </r>
  <r>
    <x v="24"/>
    <x v="3"/>
    <x v="369"/>
    <s v="Fellow"/>
    <m/>
    <s v="Norman"/>
  </r>
  <r>
    <x v="24"/>
    <x v="3"/>
    <x v="380"/>
    <s v="Fellow"/>
    <m/>
    <s v="Norman"/>
  </r>
  <r>
    <x v="24"/>
    <x v="3"/>
    <x v="543"/>
    <s v="Fellow"/>
    <m/>
    <s v="Tulsa"/>
  </r>
  <r>
    <x v="24"/>
    <x v="3"/>
    <x v="182"/>
    <s v="Director of OKC"/>
    <m/>
    <s v="Norman"/>
  </r>
  <r>
    <x v="24"/>
    <x v="3"/>
    <x v="237"/>
    <s v="Director"/>
    <m/>
    <s v="Norman"/>
  </r>
  <r>
    <x v="24"/>
    <x v="3"/>
    <x v="316"/>
    <s v="Director of Norman"/>
    <m/>
    <s v="Norman"/>
  </r>
  <r>
    <x v="24"/>
    <x v="3"/>
    <x v="407"/>
    <s v="Director of Tulsa"/>
    <m/>
    <s v="Norman"/>
  </r>
  <r>
    <x v="24"/>
    <x v="3"/>
    <x v="97"/>
    <s v="Executive Director"/>
    <m/>
    <s v="Norman"/>
  </r>
  <r>
    <x v="25"/>
    <x v="11"/>
    <x v="544"/>
    <s v="Team Lead"/>
    <s v="Thunder Launchpad Accelerator"/>
    <s v="Norman"/>
  </r>
  <r>
    <x v="25"/>
    <x v="11"/>
    <x v="545"/>
    <s v="Intern"/>
    <s v="Thunder Launchpad Accelerator"/>
    <s v="Norman"/>
  </r>
  <r>
    <x v="25"/>
    <x v="11"/>
    <x v="546"/>
    <s v="Intern"/>
    <s v="Thunder Launchpad Accelerator"/>
    <s v="Norman"/>
  </r>
  <r>
    <x v="25"/>
    <x v="11"/>
    <x v="547"/>
    <s v="Intern"/>
    <s v="Thunder Launchpad Accelerator"/>
    <s v="Norman"/>
  </r>
  <r>
    <x v="25"/>
    <x v="6"/>
    <x v="476"/>
    <s v="Team Lead"/>
    <m/>
    <s v="Norman"/>
  </r>
  <r>
    <x v="25"/>
    <x v="6"/>
    <x v="548"/>
    <s v="Intern"/>
    <m/>
    <s v="Norman"/>
  </r>
  <r>
    <x v="25"/>
    <x v="6"/>
    <x v="549"/>
    <s v="Intern"/>
    <m/>
    <s v="Norman"/>
  </r>
  <r>
    <x v="25"/>
    <x v="6"/>
    <x v="550"/>
    <s v="Intern"/>
    <m/>
    <s v="Norman"/>
  </r>
  <r>
    <x v="25"/>
    <x v="6"/>
    <x v="551"/>
    <s v="Intern"/>
    <m/>
    <s v="Norman"/>
  </r>
  <r>
    <x v="25"/>
    <x v="15"/>
    <x v="514"/>
    <s v="Team Lead"/>
    <s v="Exploration"/>
    <s v="Norman"/>
  </r>
  <r>
    <x v="25"/>
    <x v="15"/>
    <x v="552"/>
    <s v="Intern"/>
    <s v="Exploration"/>
    <s v="Norman"/>
  </r>
  <r>
    <x v="25"/>
    <x v="15"/>
    <x v="553"/>
    <s v="Intern"/>
    <s v="Exploration"/>
    <s v="Norman"/>
  </r>
  <r>
    <x v="25"/>
    <x v="15"/>
    <x v="554"/>
    <s v="Intern"/>
    <s v="Exploration"/>
    <s v="Norman"/>
  </r>
  <r>
    <x v="25"/>
    <x v="9"/>
    <x v="519"/>
    <s v="Team Lead"/>
    <s v="NextThought"/>
    <s v="Norman"/>
  </r>
  <r>
    <x v="25"/>
    <x v="9"/>
    <x v="555"/>
    <s v="Intern"/>
    <s v="NextThought"/>
    <s v="Norman"/>
  </r>
  <r>
    <x v="25"/>
    <x v="9"/>
    <x v="556"/>
    <s v="Intern"/>
    <s v="NextThought"/>
    <s v="Norman"/>
  </r>
  <r>
    <x v="25"/>
    <x v="9"/>
    <x v="557"/>
    <s v="Intern"/>
    <s v="NextThought"/>
    <s v="Norman"/>
  </r>
  <r>
    <x v="25"/>
    <x v="9"/>
    <x v="558"/>
    <s v="Intern"/>
    <s v="NextThought"/>
    <s v="Norman"/>
  </r>
  <r>
    <x v="25"/>
    <x v="10"/>
    <x v="532"/>
    <s v="Team Lead"/>
    <s v="NextThought"/>
    <s v="Norman"/>
  </r>
  <r>
    <x v="25"/>
    <x v="10"/>
    <x v="559"/>
    <s v="Intern"/>
    <s v="NextThought"/>
    <s v="Norman"/>
  </r>
  <r>
    <x v="25"/>
    <x v="10"/>
    <x v="560"/>
    <s v="Intern"/>
    <s v="NextThought"/>
    <s v="Norman"/>
  </r>
  <r>
    <x v="25"/>
    <x v="10"/>
    <x v="561"/>
    <s v="Intern"/>
    <s v="NextThought"/>
    <s v="Norman"/>
  </r>
  <r>
    <x v="25"/>
    <x v="10"/>
    <x v="562"/>
    <s v="Intern"/>
    <s v="NextThought"/>
    <s v="Norman"/>
  </r>
  <r>
    <x v="25"/>
    <x v="12"/>
    <x v="495"/>
    <s v="Team Lead"/>
    <s v="Spinal Singularity"/>
    <s v="Norman"/>
  </r>
  <r>
    <x v="25"/>
    <x v="12"/>
    <x v="563"/>
    <s v="Intern"/>
    <s v="Spinal Singularity"/>
    <s v="Norman"/>
  </r>
  <r>
    <x v="25"/>
    <x v="12"/>
    <x v="564"/>
    <s v="Intern"/>
    <s v="Spinal Singularity"/>
    <s v="Norman"/>
  </r>
  <r>
    <x v="25"/>
    <x v="12"/>
    <x v="565"/>
    <s v="Intern"/>
    <s v="Spinal Singularity"/>
    <s v="Norman"/>
  </r>
  <r>
    <x v="25"/>
    <x v="12"/>
    <x v="566"/>
    <s v="Intern"/>
    <s v="Spinal Singularity"/>
    <s v="Norman"/>
  </r>
  <r>
    <x v="25"/>
    <x v="16"/>
    <x v="479"/>
    <s v="Intern"/>
    <s v="OK Coders"/>
    <s v="Norman"/>
  </r>
  <r>
    <x v="25"/>
    <x v="16"/>
    <x v="517"/>
    <s v="Intern"/>
    <s v="OK Coders"/>
    <s v="Norman"/>
  </r>
  <r>
    <x v="25"/>
    <x v="16"/>
    <x v="522"/>
    <s v="Intern"/>
    <s v="OK Coders"/>
    <s v="Norman"/>
  </r>
  <r>
    <x v="25"/>
    <x v="14"/>
    <x v="469"/>
    <s v="Team Lead"/>
    <s v="Antibacterial Nanoparticles"/>
    <s v="OKC"/>
  </r>
  <r>
    <x v="25"/>
    <x v="14"/>
    <x v="567"/>
    <s v="Intern"/>
    <s v="Antibacterial Nanoparticles"/>
    <s v="OKC"/>
  </r>
  <r>
    <x v="25"/>
    <x v="14"/>
    <x v="568"/>
    <s v="Intern"/>
    <s v="Antibacterial Nanoparticles"/>
    <s v="OKC"/>
  </r>
  <r>
    <x v="25"/>
    <x v="14"/>
    <x v="569"/>
    <s v="Intern"/>
    <s v="Antibacterial Nanoparticles"/>
    <s v="OKC"/>
  </r>
  <r>
    <x v="25"/>
    <x v="14"/>
    <x v="570"/>
    <s v="Intern"/>
    <s v="Antibacterial Nanoparticles"/>
    <s v="OKC"/>
  </r>
  <r>
    <x v="25"/>
    <x v="5"/>
    <x v="377"/>
    <s v="Team Lead"/>
    <s v="Endoscopy Tech"/>
    <s v="Tulsa"/>
  </r>
  <r>
    <x v="25"/>
    <x v="5"/>
    <x v="571"/>
    <s v="Intern"/>
    <s v="Endoscopy Tech"/>
    <s v="Tulsa"/>
  </r>
  <r>
    <x v="25"/>
    <x v="5"/>
    <x v="572"/>
    <s v="Intern"/>
    <s v="Endoscopy Tech"/>
    <s v="Tulsa"/>
  </r>
  <r>
    <x v="25"/>
    <x v="5"/>
    <x v="573"/>
    <s v="Intern"/>
    <s v="Endoscopy Tech"/>
    <s v="Tulsa"/>
  </r>
  <r>
    <x v="25"/>
    <x v="5"/>
    <x v="574"/>
    <s v="Intern"/>
    <s v="Endoscopy Tech"/>
    <s v="Tulsa"/>
  </r>
  <r>
    <x v="25"/>
    <x v="3"/>
    <x v="369"/>
    <s v="Fellow"/>
    <m/>
    <s v="Norman"/>
  </r>
  <r>
    <x v="25"/>
    <x v="3"/>
    <x v="380"/>
    <s v="Fellow"/>
    <m/>
    <s v="Norman"/>
  </r>
  <r>
    <x v="25"/>
    <x v="3"/>
    <x v="439"/>
    <s v="Fellow"/>
    <m/>
    <s v="Norman"/>
  </r>
  <r>
    <x v="25"/>
    <x v="3"/>
    <x v="543"/>
    <s v="Fellow"/>
    <m/>
    <s v="Tulsa"/>
  </r>
  <r>
    <x v="25"/>
    <x v="3"/>
    <x v="182"/>
    <s v="Director of OKC"/>
    <m/>
    <s v="Norman"/>
  </r>
  <r>
    <x v="25"/>
    <x v="3"/>
    <x v="237"/>
    <s v="Director"/>
    <m/>
    <s v="Norman"/>
  </r>
  <r>
    <x v="25"/>
    <x v="3"/>
    <x v="316"/>
    <s v="Director of Norman"/>
    <m/>
    <s v="Norman"/>
  </r>
  <r>
    <x v="25"/>
    <x v="3"/>
    <x v="407"/>
    <s v="Director of Tulsa"/>
    <m/>
    <s v="Norman"/>
  </r>
  <r>
    <x v="25"/>
    <x v="3"/>
    <x v="97"/>
    <s v="Executive Director"/>
    <m/>
    <s v="Norman"/>
  </r>
  <r>
    <x v="26"/>
    <x v="12"/>
    <x v="563"/>
    <s v="Team Lead"/>
    <s v="StarGait"/>
    <s v="Norman"/>
  </r>
  <r>
    <x v="26"/>
    <x v="12"/>
    <x v="575"/>
    <s v="Intern"/>
    <s v="StarGait"/>
    <s v="Norman"/>
  </r>
  <r>
    <x v="26"/>
    <x v="12"/>
    <x v="576"/>
    <s v="Intern"/>
    <s v="StarGait"/>
    <s v="Norman"/>
  </r>
  <r>
    <x v="26"/>
    <x v="12"/>
    <x v="577"/>
    <s v="Intern"/>
    <s v="StarGait"/>
    <s v="Norman"/>
  </r>
  <r>
    <x v="26"/>
    <x v="12"/>
    <x v="578"/>
    <s v="Intern"/>
    <s v="StarGait"/>
    <s v="Norman"/>
  </r>
  <r>
    <x v="26"/>
    <x v="12"/>
    <x v="506"/>
    <s v="Intern"/>
    <s v="StarGait"/>
    <s v="Norman"/>
  </r>
  <r>
    <x v="26"/>
    <x v="11"/>
    <x v="527"/>
    <s v="Team Lead"/>
    <s v="Citizen Science Coil Collection"/>
    <s v="Norman"/>
  </r>
  <r>
    <x v="26"/>
    <x v="11"/>
    <x v="579"/>
    <s v="Intern"/>
    <s v="Citizen Science Coil Collection"/>
    <s v="Norman"/>
  </r>
  <r>
    <x v="26"/>
    <x v="11"/>
    <x v="580"/>
    <s v="Intern"/>
    <s v="Citizen Science Coil Collection"/>
    <s v="Norman"/>
  </r>
  <r>
    <x v="26"/>
    <x v="11"/>
    <x v="581"/>
    <s v="Intern"/>
    <s v="Citizen Science Coil Collection"/>
    <s v="Norman"/>
  </r>
  <r>
    <x v="26"/>
    <x v="11"/>
    <x v="582"/>
    <s v="Intern"/>
    <s v="Citizen Science Coil Collection"/>
    <s v="Norman"/>
  </r>
  <r>
    <x v="26"/>
    <x v="6"/>
    <x v="550"/>
    <s v="Team Lead"/>
    <m/>
    <s v="Norman"/>
  </r>
  <r>
    <x v="26"/>
    <x v="6"/>
    <x v="583"/>
    <s v="Intern"/>
    <m/>
    <s v="Norman"/>
  </r>
  <r>
    <x v="26"/>
    <x v="6"/>
    <x v="584"/>
    <s v="Intern"/>
    <m/>
    <s v="Norman"/>
  </r>
  <r>
    <x v="26"/>
    <x v="6"/>
    <x v="585"/>
    <s v="Intern"/>
    <m/>
    <s v="Norman"/>
  </r>
  <r>
    <x v="26"/>
    <x v="6"/>
    <x v="586"/>
    <s v="Intern"/>
    <m/>
    <s v="Norman"/>
  </r>
  <r>
    <x v="26"/>
    <x v="15"/>
    <x v="439"/>
    <s v="Team Lead"/>
    <s v="Exploration"/>
    <s v="Norman"/>
  </r>
  <r>
    <x v="26"/>
    <x v="15"/>
    <x v="587"/>
    <s v="Intern"/>
    <s v="Exploration"/>
    <s v="Norman"/>
  </r>
  <r>
    <x v="26"/>
    <x v="15"/>
    <x v="588"/>
    <s v="Intern"/>
    <s v="Exploration"/>
    <s v="Norman"/>
  </r>
  <r>
    <x v="26"/>
    <x v="15"/>
    <x v="589"/>
    <s v="Intern"/>
    <s v="Exploration"/>
    <s v="Norman"/>
  </r>
  <r>
    <x v="26"/>
    <x v="9"/>
    <x v="479"/>
    <s v="Team Lead"/>
    <s v="ConsumerAffairs"/>
    <s v="Norman"/>
  </r>
  <r>
    <x v="26"/>
    <x v="9"/>
    <x v="590"/>
    <s v="Intern"/>
    <s v="ConsumerAffairs"/>
    <s v="Norman"/>
  </r>
  <r>
    <x v="26"/>
    <x v="9"/>
    <x v="591"/>
    <s v="Intern"/>
    <s v="ConsumerAffairs"/>
    <s v="Norman"/>
  </r>
  <r>
    <x v="26"/>
    <x v="9"/>
    <x v="592"/>
    <s v="Intern"/>
    <s v="ConsumerAffairs"/>
    <s v="Norman"/>
  </r>
  <r>
    <x v="26"/>
    <x v="9"/>
    <x v="593"/>
    <s v="Intern"/>
    <s v="ConsumerAffairs"/>
    <s v="Norman"/>
  </r>
  <r>
    <x v="26"/>
    <x v="10"/>
    <x v="559"/>
    <s v="Team Lead"/>
    <s v="ConsumerAffairs"/>
    <s v="Norman"/>
  </r>
  <r>
    <x v="26"/>
    <x v="10"/>
    <x v="594"/>
    <s v="Intern"/>
    <s v="ConsumerAffairs"/>
    <s v="Norman"/>
  </r>
  <r>
    <x v="26"/>
    <x v="10"/>
    <x v="595"/>
    <s v="Intern"/>
    <s v="ConsumerAffairs"/>
    <s v="Norman"/>
  </r>
  <r>
    <x v="26"/>
    <x v="10"/>
    <x v="596"/>
    <s v="Intern"/>
    <s v="ConsumerAffairs"/>
    <s v="Norman"/>
  </r>
  <r>
    <x v="26"/>
    <x v="10"/>
    <x v="597"/>
    <s v="Intern"/>
    <s v="ConsumerAffairs"/>
    <s v="Norman"/>
  </r>
  <r>
    <x v="26"/>
    <x v="14"/>
    <x v="567"/>
    <s v="Team Lead"/>
    <s v="Dean McGee Eye Institue"/>
    <s v="OKC"/>
  </r>
  <r>
    <x v="26"/>
    <x v="14"/>
    <x v="598"/>
    <s v="Intern"/>
    <s v="Dean McGee Eye Institue"/>
    <s v="OKC"/>
  </r>
  <r>
    <x v="26"/>
    <x v="14"/>
    <x v="599"/>
    <s v="Intern"/>
    <s v="Dean McGee Eye Institue"/>
    <s v="OKC"/>
  </r>
  <r>
    <x v="26"/>
    <x v="14"/>
    <x v="600"/>
    <s v="Intern"/>
    <s v="Dean McGee Eye Institue"/>
    <s v="OKC"/>
  </r>
  <r>
    <x v="26"/>
    <x v="5"/>
    <x v="601"/>
    <s v="Team Lead"/>
    <s v="Culinary Medicine"/>
    <s v="Tulsa"/>
  </r>
  <r>
    <x v="26"/>
    <x v="5"/>
    <x v="602"/>
    <s v="Intern"/>
    <s v="Culinary Medicine"/>
    <s v="Tulsa"/>
  </r>
  <r>
    <x v="26"/>
    <x v="5"/>
    <x v="603"/>
    <s v="Intern"/>
    <s v="Culinary Medicine"/>
    <s v="Tulsa"/>
  </r>
  <r>
    <x v="26"/>
    <x v="5"/>
    <x v="604"/>
    <s v="Intern"/>
    <s v="Culinary Medicine"/>
    <s v="Tulsa"/>
  </r>
  <r>
    <x v="26"/>
    <x v="5"/>
    <x v="605"/>
    <s v="Intern"/>
    <s v="Culinary Medicine"/>
    <s v="Tulsa"/>
  </r>
  <r>
    <x v="26"/>
    <x v="3"/>
    <x v="380"/>
    <s v="Fellow"/>
    <m/>
    <s v="Norman"/>
  </r>
  <r>
    <x v="26"/>
    <x v="3"/>
    <x v="439"/>
    <s v="Fellow"/>
    <m/>
    <s v="Norman"/>
  </r>
  <r>
    <x v="26"/>
    <x v="3"/>
    <x v="543"/>
    <s v="Director of Tulsa"/>
    <m/>
    <s v="Norman"/>
  </r>
  <r>
    <x v="26"/>
    <x v="3"/>
    <x v="182"/>
    <s v="Director of OKC"/>
    <m/>
    <s v="Norman"/>
  </r>
  <r>
    <x v="26"/>
    <x v="3"/>
    <x v="237"/>
    <s v="Director"/>
    <m/>
    <s v="Norman"/>
  </r>
  <r>
    <x v="26"/>
    <x v="3"/>
    <x v="316"/>
    <s v="Director of Norman"/>
    <m/>
    <s v="Norman"/>
  </r>
  <r>
    <x v="26"/>
    <x v="3"/>
    <x v="97"/>
    <s v="Executive Director"/>
    <m/>
    <s v="Norman"/>
  </r>
  <r>
    <x v="27"/>
    <x v="12"/>
    <x v="575"/>
    <s v="Team Lead"/>
    <m/>
    <s v="Norman"/>
  </r>
  <r>
    <x v="27"/>
    <x v="12"/>
    <x v="606"/>
    <s v="Intern"/>
    <m/>
    <s v="Norman"/>
  </r>
  <r>
    <x v="27"/>
    <x v="12"/>
    <x v="607"/>
    <s v="Intern"/>
    <m/>
    <s v="Norman"/>
  </r>
  <r>
    <x v="27"/>
    <x v="12"/>
    <x v="608"/>
    <s v="Intern"/>
    <m/>
    <s v="Norman"/>
  </r>
  <r>
    <x v="27"/>
    <x v="12"/>
    <x v="609"/>
    <s v="Intern"/>
    <m/>
    <s v="Norman"/>
  </r>
  <r>
    <x v="27"/>
    <x v="6"/>
    <x v="583"/>
    <s v="Team Lead"/>
    <m/>
    <s v="Norman"/>
  </r>
  <r>
    <x v="27"/>
    <x v="6"/>
    <x v="610"/>
    <s v="Intern"/>
    <m/>
    <s v="Norman"/>
  </r>
  <r>
    <x v="27"/>
    <x v="6"/>
    <x v="611"/>
    <s v="Intern"/>
    <m/>
    <s v="Norman"/>
  </r>
  <r>
    <x v="27"/>
    <x v="6"/>
    <x v="612"/>
    <s v="Intern"/>
    <m/>
    <s v="Norman"/>
  </r>
  <r>
    <x v="27"/>
    <x v="6"/>
    <x v="613"/>
    <s v="Intern"/>
    <m/>
    <s v="Norman"/>
  </r>
  <r>
    <x v="27"/>
    <x v="15"/>
    <x v="589"/>
    <s v="Team Lead"/>
    <m/>
    <s v="Norman"/>
  </r>
  <r>
    <x v="27"/>
    <x v="15"/>
    <x v="614"/>
    <s v="Intern"/>
    <m/>
    <s v="Norman"/>
  </r>
  <r>
    <x v="27"/>
    <x v="15"/>
    <x v="615"/>
    <s v="Intern"/>
    <m/>
    <s v="Norman"/>
  </r>
  <r>
    <x v="27"/>
    <x v="15"/>
    <x v="616"/>
    <s v="Intern"/>
    <m/>
    <s v="Norman"/>
  </r>
  <r>
    <x v="27"/>
    <x v="9"/>
    <x v="576"/>
    <s v="Team Lead"/>
    <m/>
    <s v="Norman"/>
  </r>
  <r>
    <x v="27"/>
    <x v="9"/>
    <x v="617"/>
    <s v="Intern"/>
    <m/>
    <s v="Norman"/>
  </r>
  <r>
    <x v="27"/>
    <x v="9"/>
    <x v="618"/>
    <s v="Intern"/>
    <m/>
    <s v="Norman"/>
  </r>
  <r>
    <x v="27"/>
    <x v="9"/>
    <x v="619"/>
    <s v="Intern"/>
    <m/>
    <s v="Norman"/>
  </r>
  <r>
    <x v="27"/>
    <x v="9"/>
    <x v="620"/>
    <s v="Intern"/>
    <m/>
    <s v="Norman"/>
  </r>
  <r>
    <x v="27"/>
    <x v="10"/>
    <x v="597"/>
    <s v="Team Lead"/>
    <m/>
    <s v="Norman"/>
  </r>
  <r>
    <x v="27"/>
    <x v="10"/>
    <x v="621"/>
    <s v="Intern"/>
    <m/>
    <s v="Norman"/>
  </r>
  <r>
    <x v="27"/>
    <x v="10"/>
    <x v="622"/>
    <s v="Intern"/>
    <m/>
    <s v="Norman"/>
  </r>
  <r>
    <x v="27"/>
    <x v="10"/>
    <x v="623"/>
    <s v="Intern"/>
    <m/>
    <s v="Norman"/>
  </r>
  <r>
    <x v="27"/>
    <x v="10"/>
    <x v="596"/>
    <s v="Intern"/>
    <m/>
    <s v="Norman"/>
  </r>
  <r>
    <x v="27"/>
    <x v="13"/>
    <x v="624"/>
    <s v="Team Lead"/>
    <m/>
    <s v="Norman"/>
  </r>
  <r>
    <x v="27"/>
    <x v="13"/>
    <x v="625"/>
    <s v="Intern"/>
    <m/>
    <s v="Norman"/>
  </r>
  <r>
    <x v="27"/>
    <x v="13"/>
    <x v="626"/>
    <s v="Intern"/>
    <m/>
    <s v="Norman"/>
  </r>
  <r>
    <x v="27"/>
    <x v="13"/>
    <x v="627"/>
    <s v="Intern"/>
    <m/>
    <s v="Norman"/>
  </r>
  <r>
    <x v="27"/>
    <x v="13"/>
    <x v="628"/>
    <s v="Intern"/>
    <m/>
    <s v="Norman"/>
  </r>
  <r>
    <x v="27"/>
    <x v="13"/>
    <x v="557"/>
    <s v="Intern"/>
    <m/>
    <s v="Norman"/>
  </r>
  <r>
    <x v="27"/>
    <x v="3"/>
    <x v="380"/>
    <s v="Fellow"/>
    <m/>
    <s v="Norman"/>
  </r>
  <r>
    <x v="27"/>
    <x v="3"/>
    <x v="550"/>
    <s v="Fellow"/>
    <m/>
    <s v="Norman"/>
  </r>
  <r>
    <x v="27"/>
    <x v="3"/>
    <x v="439"/>
    <s v="Fellow"/>
    <m/>
    <s v="Norman"/>
  </r>
  <r>
    <x v="27"/>
    <x v="3"/>
    <x v="97"/>
    <s v="Executive Director"/>
    <m/>
    <s v="Norman"/>
  </r>
  <r>
    <x v="27"/>
    <x v="3"/>
    <x v="237"/>
    <s v="Director"/>
    <m/>
    <s v="Norman"/>
  </r>
  <r>
    <x v="28"/>
    <x v="12"/>
    <x v="316"/>
    <s v="Fellow"/>
    <m/>
    <s v="Norman"/>
  </r>
  <r>
    <x v="28"/>
    <x v="12"/>
    <x v="609"/>
    <s v="Team Lead"/>
    <m/>
    <s v="Norman"/>
  </r>
  <r>
    <x v="28"/>
    <x v="12"/>
    <x v="629"/>
    <s v="Intern"/>
    <m/>
    <s v="Norman"/>
  </r>
  <r>
    <x v="28"/>
    <x v="12"/>
    <x v="630"/>
    <s v="Intern"/>
    <m/>
    <s v="Norman"/>
  </r>
  <r>
    <x v="28"/>
    <x v="12"/>
    <x v="631"/>
    <s v="Intern"/>
    <m/>
    <s v="Norman"/>
  </r>
  <r>
    <x v="28"/>
    <x v="12"/>
    <x v="632"/>
    <s v="Intern"/>
    <m/>
    <s v="Norman"/>
  </r>
  <r>
    <x v="28"/>
    <x v="6"/>
    <x v="633"/>
    <s v="Intern"/>
    <m/>
    <s v="Norman"/>
  </r>
  <r>
    <x v="28"/>
    <x v="6"/>
    <x v="634"/>
    <s v="Intern"/>
    <m/>
    <s v="Norman"/>
  </r>
  <r>
    <x v="28"/>
    <x v="6"/>
    <x v="635"/>
    <s v="Intern"/>
    <m/>
    <s v="Norman"/>
  </r>
  <r>
    <x v="28"/>
    <x v="15"/>
    <x v="439"/>
    <s v="Fellow"/>
    <m/>
    <s v="Norman"/>
  </r>
  <r>
    <x v="28"/>
    <x v="15"/>
    <x v="589"/>
    <s v="Team Lead"/>
    <m/>
    <s v="Norman"/>
  </r>
  <r>
    <x v="28"/>
    <x v="15"/>
    <x v="614"/>
    <s v="Intern"/>
    <m/>
    <s v="Norman"/>
  </r>
  <r>
    <x v="28"/>
    <x v="15"/>
    <x v="636"/>
    <s v="Intern"/>
    <m/>
    <s v="Norman"/>
  </r>
  <r>
    <x v="28"/>
    <x v="15"/>
    <x v="615"/>
    <s v="Intern"/>
    <m/>
    <s v="Norman"/>
  </r>
  <r>
    <x v="28"/>
    <x v="10"/>
    <x v="597"/>
    <s v="Fellow"/>
    <m/>
    <s v="Norman"/>
  </r>
  <r>
    <x v="28"/>
    <x v="10"/>
    <x v="621"/>
    <s v="Team Lead"/>
    <m/>
    <s v="Norman"/>
  </r>
  <r>
    <x v="28"/>
    <x v="10"/>
    <x v="637"/>
    <s v="Intern"/>
    <m/>
    <s v="Norman"/>
  </r>
  <r>
    <x v="28"/>
    <x v="10"/>
    <x v="638"/>
    <s v="Intern"/>
    <m/>
    <s v="Norman"/>
  </r>
  <r>
    <x v="28"/>
    <x v="10"/>
    <x v="639"/>
    <s v="Intern"/>
    <m/>
    <s v="Norman"/>
  </r>
  <r>
    <x v="28"/>
    <x v="10"/>
    <x v="640"/>
    <s v="Intern"/>
    <m/>
    <s v="Norman"/>
  </r>
  <r>
    <x v="28"/>
    <x v="9"/>
    <x v="316"/>
    <s v="Fellow"/>
    <m/>
    <s v="Norman"/>
  </r>
  <r>
    <x v="28"/>
    <x v="9"/>
    <x v="618"/>
    <s v="Team Lead"/>
    <m/>
    <s v="Norman"/>
  </r>
  <r>
    <x v="28"/>
    <x v="9"/>
    <x v="641"/>
    <s v="Intern"/>
    <m/>
    <s v="Norman"/>
  </r>
  <r>
    <x v="28"/>
    <x v="9"/>
    <x v="642"/>
    <s v="Intern"/>
    <m/>
    <s v="Norman"/>
  </r>
  <r>
    <x v="28"/>
    <x v="9"/>
    <x v="643"/>
    <s v="Intern"/>
    <m/>
    <s v="Norman"/>
  </r>
  <r>
    <x v="28"/>
    <x v="9"/>
    <x v="644"/>
    <s v="Intern"/>
    <m/>
    <s v="Norman"/>
  </r>
  <r>
    <x v="28"/>
    <x v="13"/>
    <x v="439"/>
    <s v="Fellow"/>
    <m/>
    <s v="Norman"/>
  </r>
  <r>
    <x v="28"/>
    <x v="13"/>
    <x v="627"/>
    <s v="Team Lead"/>
    <m/>
    <s v="Norman"/>
  </r>
  <r>
    <x v="28"/>
    <x v="13"/>
    <x v="645"/>
    <s v="Intern"/>
    <m/>
    <s v="Norman"/>
  </r>
  <r>
    <x v="28"/>
    <x v="13"/>
    <x v="646"/>
    <s v="Intern"/>
    <m/>
    <s v="Norman"/>
  </r>
  <r>
    <x v="28"/>
    <x v="13"/>
    <x v="647"/>
    <s v="Intern"/>
    <m/>
    <s v="Norman"/>
  </r>
  <r>
    <x v="28"/>
    <x v="13"/>
    <x v="648"/>
    <s v="Intern"/>
    <m/>
    <s v="Norman"/>
  </r>
  <r>
    <x v="28"/>
    <x v="3"/>
    <x v="316"/>
    <s v="Director of Norman"/>
    <m/>
    <s v="Norman"/>
  </r>
  <r>
    <x v="28"/>
    <x v="3"/>
    <x v="439"/>
    <s v="Fellow"/>
    <m/>
    <s v="Norman"/>
  </r>
  <r>
    <x v="28"/>
    <x v="3"/>
    <x v="597"/>
    <s v="Fellow"/>
    <m/>
    <s v="Norman"/>
  </r>
  <r>
    <x v="28"/>
    <x v="3"/>
    <x v="97"/>
    <s v="Executive Director"/>
    <m/>
    <s v="Norman"/>
  </r>
  <r>
    <x v="28"/>
    <x v="3"/>
    <x v="649"/>
    <s v="Director of Community programs"/>
    <m/>
    <s v="Tulsa"/>
  </r>
  <r>
    <x v="28"/>
    <x v="3"/>
    <x v="237"/>
    <s v="Director"/>
    <m/>
    <s v="Norman"/>
  </r>
  <r>
    <x v="29"/>
    <x v="12"/>
    <x v="630"/>
    <s v="Team Lead"/>
    <m/>
    <s v="Norman"/>
  </r>
  <r>
    <x v="29"/>
    <x v="12"/>
    <x v="650"/>
    <s v="Intern"/>
    <m/>
    <s v="Norman"/>
  </r>
  <r>
    <x v="29"/>
    <x v="12"/>
    <x v="651"/>
    <s v="Intern"/>
    <m/>
    <s v="Norman"/>
  </r>
  <r>
    <x v="29"/>
    <x v="12"/>
    <x v="652"/>
    <s v="Intern"/>
    <m/>
    <s v="Norman"/>
  </r>
  <r>
    <x v="29"/>
    <x v="12"/>
    <x v="653"/>
    <s v="Intern"/>
    <m/>
    <s v="Norman"/>
  </r>
  <r>
    <x v="29"/>
    <x v="17"/>
    <x v="390"/>
    <s v="Team Lead"/>
    <s v="Babel Analytics"/>
    <s v="Norman"/>
  </r>
  <r>
    <x v="29"/>
    <x v="17"/>
    <x v="654"/>
    <s v="Intern"/>
    <s v="Babel Analytics"/>
    <s v="Norman"/>
  </r>
  <r>
    <x v="29"/>
    <x v="17"/>
    <x v="655"/>
    <s v="Intern"/>
    <s v="Babel Analytics"/>
    <s v="Norman"/>
  </r>
  <r>
    <x v="29"/>
    <x v="17"/>
    <x v="645"/>
    <s v="Team Lead"/>
    <s v="Food Business Connector"/>
    <s v="Norman"/>
  </r>
  <r>
    <x v="29"/>
    <x v="17"/>
    <x v="656"/>
    <s v="Intern"/>
    <s v="Food Business Connector"/>
    <s v="Norman"/>
  </r>
  <r>
    <x v="29"/>
    <x v="17"/>
    <x v="657"/>
    <s v="Intern"/>
    <s v="Food Business Connector"/>
    <s v="Norman"/>
  </r>
  <r>
    <x v="29"/>
    <x v="17"/>
    <x v="658"/>
    <s v="Intern"/>
    <s v="Food Business Connector"/>
    <s v="Norman"/>
  </r>
  <r>
    <x v="29"/>
    <x v="17"/>
    <x v="659"/>
    <s v="Intern"/>
    <s v="Food Business Connector"/>
    <s v="Norman"/>
  </r>
  <r>
    <x v="29"/>
    <x v="10"/>
    <x v="639"/>
    <s v="Team Lead"/>
    <m/>
    <s v="Norman"/>
  </r>
  <r>
    <x v="29"/>
    <x v="10"/>
    <x v="660"/>
    <s v="Intern"/>
    <m/>
    <s v="Norman"/>
  </r>
  <r>
    <x v="29"/>
    <x v="10"/>
    <x v="661"/>
    <s v="Intern"/>
    <m/>
    <s v="Norman"/>
  </r>
  <r>
    <x v="29"/>
    <x v="10"/>
    <x v="662"/>
    <s v="Intern"/>
    <m/>
    <s v="Norman"/>
  </r>
  <r>
    <x v="29"/>
    <x v="10"/>
    <x v="663"/>
    <s v="Intern"/>
    <m/>
    <s v="Norman"/>
  </r>
  <r>
    <x v="29"/>
    <x v="9"/>
    <x v="642"/>
    <s v="Team Lead"/>
    <m/>
    <s v="Norman"/>
  </r>
  <r>
    <x v="29"/>
    <x v="9"/>
    <x v="664"/>
    <s v="Intern"/>
    <m/>
    <s v="Norman"/>
  </r>
  <r>
    <x v="29"/>
    <x v="9"/>
    <x v="665"/>
    <s v="Intern"/>
    <m/>
    <s v="Norman"/>
  </r>
  <r>
    <x v="29"/>
    <x v="9"/>
    <x v="666"/>
    <s v="Intern"/>
    <m/>
    <s v="Norman"/>
  </r>
  <r>
    <x v="29"/>
    <x v="9"/>
    <x v="667"/>
    <s v="Intern"/>
    <m/>
    <s v="Norman"/>
  </r>
  <r>
    <x v="29"/>
    <x v="14"/>
    <x v="668"/>
    <s v="Team Lead"/>
    <m/>
    <s v="OKC"/>
  </r>
  <r>
    <x v="29"/>
    <x v="14"/>
    <x v="669"/>
    <s v="Intern"/>
    <m/>
    <s v="OKC"/>
  </r>
  <r>
    <x v="29"/>
    <x v="14"/>
    <x v="670"/>
    <s v="Intern"/>
    <m/>
    <s v="OKC"/>
  </r>
  <r>
    <x v="29"/>
    <x v="18"/>
    <x v="648"/>
    <s v="Team Lead"/>
    <m/>
    <s v="Norman"/>
  </r>
  <r>
    <x v="29"/>
    <x v="18"/>
    <x v="671"/>
    <s v="Intern"/>
    <m/>
    <s v="Norman"/>
  </r>
  <r>
    <x v="29"/>
    <x v="18"/>
    <x v="672"/>
    <s v="Intern"/>
    <m/>
    <s v="Norman"/>
  </r>
  <r>
    <x v="29"/>
    <x v="18"/>
    <x v="673"/>
    <s v="Intern"/>
    <m/>
    <s v="Norman"/>
  </r>
  <r>
    <x v="29"/>
    <x v="18"/>
    <x v="674"/>
    <s v="Intern"/>
    <m/>
    <s v="Norman"/>
  </r>
  <r>
    <x v="29"/>
    <x v="3"/>
    <x v="610"/>
    <s v="Fellow"/>
    <m/>
    <s v="Norman"/>
  </r>
  <r>
    <x v="29"/>
    <x v="3"/>
    <x v="675"/>
    <s v="Fellow"/>
    <m/>
    <s v="Norman"/>
  </r>
  <r>
    <x v="29"/>
    <x v="3"/>
    <x v="615"/>
    <s v="Fellow"/>
    <m/>
    <s v="Norman"/>
  </r>
  <r>
    <x v="27"/>
    <x v="3"/>
    <x v="237"/>
    <s v="Director"/>
    <m/>
    <s v="Norman"/>
  </r>
  <r>
    <x v="29"/>
    <x v="3"/>
    <x v="316"/>
    <s v="Director of Programs"/>
    <m/>
    <s v="Norman"/>
  </r>
  <r>
    <x v="29"/>
    <x v="3"/>
    <x v="97"/>
    <s v="Executive Director"/>
    <m/>
    <s v="Norman"/>
  </r>
  <r>
    <x v="29"/>
    <x v="3"/>
    <x v="676"/>
    <s v="Director of Community programs"/>
    <m/>
    <s v="Tulsa"/>
  </r>
  <r>
    <x v="30"/>
    <x v="12"/>
    <x v="677"/>
    <s v="Team Lead"/>
    <m/>
    <s v="Norman"/>
  </r>
  <r>
    <x v="30"/>
    <x v="12"/>
    <x v="678"/>
    <s v="Intern"/>
    <m/>
    <s v="Norman"/>
  </r>
  <r>
    <x v="30"/>
    <x v="12"/>
    <x v="679"/>
    <s v="Intern"/>
    <m/>
    <s v="Norman"/>
  </r>
  <r>
    <x v="30"/>
    <x v="12"/>
    <x v="680"/>
    <s v="Intern"/>
    <m/>
    <s v="Norman"/>
  </r>
  <r>
    <x v="30"/>
    <x v="12"/>
    <x v="681"/>
    <s v="Intern"/>
    <m/>
    <s v="Norman"/>
  </r>
  <r>
    <x v="30"/>
    <x v="12"/>
    <x v="682"/>
    <s v="Intern"/>
    <m/>
    <s v="Norman"/>
  </r>
  <r>
    <x v="30"/>
    <x v="18"/>
    <x v="671"/>
    <s v="Team Lead"/>
    <m/>
    <s v="Norman"/>
  </r>
  <r>
    <x v="30"/>
    <x v="18"/>
    <x v="683"/>
    <s v="Intern"/>
    <m/>
    <s v="Norman"/>
  </r>
  <r>
    <x v="30"/>
    <x v="18"/>
    <x v="684"/>
    <s v="Intern"/>
    <m/>
    <s v="Norman"/>
  </r>
  <r>
    <x v="30"/>
    <x v="18"/>
    <x v="685"/>
    <s v="Intern"/>
    <m/>
    <s v="Norman"/>
  </r>
  <r>
    <x v="30"/>
    <x v="18"/>
    <x v="686"/>
    <s v="Intern"/>
    <m/>
    <s v="Norman"/>
  </r>
  <r>
    <x v="30"/>
    <x v="6"/>
    <x v="635"/>
    <s v="Team Lead"/>
    <m/>
    <s v="Norman"/>
  </r>
  <r>
    <x v="30"/>
    <x v="6"/>
    <x v="687"/>
    <s v="Intern"/>
    <m/>
    <s v="Norman"/>
  </r>
  <r>
    <x v="30"/>
    <x v="6"/>
    <x v="688"/>
    <s v="Intern"/>
    <m/>
    <s v="Norman"/>
  </r>
  <r>
    <x v="30"/>
    <x v="6"/>
    <x v="689"/>
    <s v="Intern"/>
    <m/>
    <s v="Norman"/>
  </r>
  <r>
    <x v="30"/>
    <x v="6"/>
    <x v="690"/>
    <s v="Intern"/>
    <m/>
    <s v="Norman"/>
  </r>
  <r>
    <x v="30"/>
    <x v="14"/>
    <x v="522"/>
    <s v="Team Lead"/>
    <m/>
    <s v="Norman"/>
  </r>
  <r>
    <x v="30"/>
    <x v="14"/>
    <x v="691"/>
    <s v="Intern"/>
    <m/>
    <s v="Norman"/>
  </r>
  <r>
    <x v="30"/>
    <x v="14"/>
    <x v="692"/>
    <s v="Intern"/>
    <m/>
    <s v="Norman"/>
  </r>
  <r>
    <x v="30"/>
    <x v="9"/>
    <x v="659"/>
    <s v="Team Lead"/>
    <m/>
    <s v="Norman"/>
  </r>
  <r>
    <x v="30"/>
    <x v="9"/>
    <x v="693"/>
    <s v="Intern"/>
    <m/>
    <s v="Norman"/>
  </r>
  <r>
    <x v="30"/>
    <x v="9"/>
    <x v="694"/>
    <s v="Intern"/>
    <m/>
    <s v="Norman"/>
  </r>
  <r>
    <x v="30"/>
    <x v="9"/>
    <x v="695"/>
    <s v="Intern"/>
    <m/>
    <s v="Norman"/>
  </r>
  <r>
    <x v="30"/>
    <x v="9"/>
    <x v="696"/>
    <s v="Intern"/>
    <m/>
    <s v="Norman"/>
  </r>
  <r>
    <x v="30"/>
    <x v="10"/>
    <x v="661"/>
    <s v="Team Lead"/>
    <m/>
    <s v="Norman"/>
  </r>
  <r>
    <x v="30"/>
    <x v="10"/>
    <x v="697"/>
    <s v="Intern"/>
    <m/>
    <s v="Norman"/>
  </r>
  <r>
    <x v="30"/>
    <x v="10"/>
    <x v="698"/>
    <s v="Intern"/>
    <m/>
    <s v="Norman"/>
  </r>
  <r>
    <x v="30"/>
    <x v="10"/>
    <x v="699"/>
    <s v="Intern"/>
    <m/>
    <s v="Norman"/>
  </r>
  <r>
    <x v="30"/>
    <x v="10"/>
    <x v="700"/>
    <s v="Intern"/>
    <m/>
    <s v="Norman"/>
  </r>
  <r>
    <x v="30"/>
    <x v="10"/>
    <x v="701"/>
    <s v="Intern"/>
    <m/>
    <s v="Norman"/>
  </r>
  <r>
    <x v="30"/>
    <x v="13"/>
    <x v="702"/>
    <s v="Team Lead"/>
    <m/>
    <s v="Norman"/>
  </r>
  <r>
    <x v="30"/>
    <x v="13"/>
    <x v="703"/>
    <s v="Intern"/>
    <m/>
    <s v="Norman"/>
  </r>
  <r>
    <x v="30"/>
    <x v="13"/>
    <x v="704"/>
    <s v="Intern"/>
    <m/>
    <s v="Norman"/>
  </r>
  <r>
    <x v="30"/>
    <x v="13"/>
    <x v="705"/>
    <s v="Intern"/>
    <m/>
    <s v="Norman"/>
  </r>
  <r>
    <x v="30"/>
    <x v="13"/>
    <x v="706"/>
    <s v="Intern"/>
    <m/>
    <s v="Norman"/>
  </r>
  <r>
    <x v="30"/>
    <x v="3"/>
    <x v="615"/>
    <s v="Fellow"/>
    <m/>
    <s v="Norman"/>
  </r>
  <r>
    <x v="30"/>
    <x v="3"/>
    <x v="707"/>
    <s v="Fellow"/>
    <m/>
    <s v="Norman"/>
  </r>
  <r>
    <x v="30"/>
    <x v="3"/>
    <x v="610"/>
    <s v="Fellow"/>
    <m/>
    <s v="Norman"/>
  </r>
  <r>
    <x v="30"/>
    <x v="3"/>
    <x v="627"/>
    <s v="Fellow"/>
    <m/>
    <s v="Norman"/>
  </r>
  <r>
    <x v="30"/>
    <x v="3"/>
    <x v="316"/>
    <s v="Director of Programs"/>
    <m/>
    <s v="Norman"/>
  </r>
  <r>
    <x v="30"/>
    <x v="3"/>
    <x v="97"/>
    <s v="Executive Director"/>
    <m/>
    <s v="Norman"/>
  </r>
  <r>
    <x v="30"/>
    <x v="3"/>
    <x v="676"/>
    <s v="Director of Community programs"/>
    <m/>
    <s v="Tulsa"/>
  </r>
  <r>
    <x v="31"/>
    <x v="12"/>
    <x v="679"/>
    <s v="Team Lead"/>
    <m/>
    <s v="Norman"/>
  </r>
  <r>
    <x v="31"/>
    <x v="12"/>
    <x v="708"/>
    <s v="Intern"/>
    <m/>
    <s v="Norman"/>
  </r>
  <r>
    <x v="31"/>
    <x v="12"/>
    <x v="709"/>
    <s v="Intern"/>
    <m/>
    <s v="Norman"/>
  </r>
  <r>
    <x v="31"/>
    <x v="12"/>
    <x v="710"/>
    <s v="Intern"/>
    <m/>
    <s v="Norman"/>
  </r>
  <r>
    <x v="31"/>
    <x v="10"/>
    <x v="698"/>
    <s v="Team Lead"/>
    <m/>
    <s v="Norman"/>
  </r>
  <r>
    <x v="31"/>
    <x v="10"/>
    <x v="711"/>
    <s v="Intern"/>
    <m/>
    <s v="Norman"/>
  </r>
  <r>
    <x v="31"/>
    <x v="10"/>
    <x v="712"/>
    <s v="Intern"/>
    <m/>
    <s v="Norman"/>
  </r>
  <r>
    <x v="31"/>
    <x v="10"/>
    <x v="713"/>
    <s v="Intern"/>
    <m/>
    <s v="Norman"/>
  </r>
  <r>
    <x v="31"/>
    <x v="10"/>
    <x v="714"/>
    <s v="Intern"/>
    <m/>
    <s v="Norman"/>
  </r>
  <r>
    <x v="31"/>
    <x v="9"/>
    <x v="657"/>
    <s v="Team Lead"/>
    <m/>
    <s v="Norman"/>
  </r>
  <r>
    <x v="31"/>
    <x v="9"/>
    <x v="715"/>
    <s v="Intern"/>
    <m/>
    <s v="Norman"/>
  </r>
  <r>
    <x v="31"/>
    <x v="9"/>
    <x v="716"/>
    <s v="Intern"/>
    <m/>
    <s v="Norman"/>
  </r>
  <r>
    <x v="31"/>
    <x v="9"/>
    <x v="717"/>
    <s v="Intern"/>
    <m/>
    <s v="Norman"/>
  </r>
  <r>
    <x v="31"/>
    <x v="14"/>
    <x v="522"/>
    <s v="Team Lead"/>
    <s v="Talento"/>
    <s v="OKC"/>
  </r>
  <r>
    <x v="31"/>
    <x v="14"/>
    <x v="718"/>
    <s v="Intern"/>
    <s v="Talento"/>
    <s v="OKC"/>
  </r>
  <r>
    <x v="31"/>
    <x v="14"/>
    <x v="719"/>
    <s v="Intern"/>
    <s v="Talento"/>
    <s v="OKC"/>
  </r>
  <r>
    <x v="31"/>
    <x v="14"/>
    <x v="720"/>
    <s v="Team Lead"/>
    <s v="OU Med"/>
    <s v="OKC"/>
  </r>
  <r>
    <x v="31"/>
    <x v="14"/>
    <x v="721"/>
    <s v="Intern"/>
    <s v="OU Med"/>
    <s v="OKC"/>
  </r>
  <r>
    <x v="31"/>
    <x v="14"/>
    <x v="722"/>
    <s v="Intern"/>
    <s v="OU Med"/>
    <s v="OKC"/>
  </r>
  <r>
    <x v="31"/>
    <x v="18"/>
    <x v="694"/>
    <s v="Team Lead"/>
    <m/>
    <s v="Norman"/>
  </r>
  <r>
    <x v="31"/>
    <x v="18"/>
    <x v="723"/>
    <s v="Intern"/>
    <m/>
    <s v="Norman"/>
  </r>
  <r>
    <x v="31"/>
    <x v="18"/>
    <x v="724"/>
    <s v="Intern"/>
    <m/>
    <s v="Norman"/>
  </r>
  <r>
    <x v="31"/>
    <x v="18"/>
    <x v="725"/>
    <s v="Intern"/>
    <m/>
    <s v="Norman"/>
  </r>
  <r>
    <x v="31"/>
    <x v="3"/>
    <x v="610"/>
    <s v="Fellow"/>
    <m/>
    <s v="Norman"/>
  </r>
  <r>
    <x v="31"/>
    <x v="3"/>
    <x v="661"/>
    <s v="Fellow"/>
    <m/>
    <s v="Norman"/>
  </r>
  <r>
    <x v="31"/>
    <x v="3"/>
    <x v="615"/>
    <s v="Fellow"/>
    <m/>
    <s v="Norman"/>
  </r>
  <r>
    <x v="31"/>
    <x v="3"/>
    <x v="316"/>
    <s v="Director of Programs"/>
    <m/>
    <s v="Norman"/>
  </r>
  <r>
    <x v="31"/>
    <x v="3"/>
    <x v="97"/>
    <s v="Executive Director"/>
    <m/>
    <s v="Norman"/>
  </r>
  <r>
    <x v="31"/>
    <x v="3"/>
    <x v="676"/>
    <s v="Director of Community programs"/>
    <m/>
    <s v="Tulsa"/>
  </r>
  <r>
    <x v="32"/>
    <x v="12"/>
    <x v="710"/>
    <s v="Team Lead"/>
    <m/>
    <s v="Norman"/>
  </r>
  <r>
    <x v="32"/>
    <x v="12"/>
    <x v="726"/>
    <s v="Intern"/>
    <m/>
    <s v="Norman"/>
  </r>
  <r>
    <x v="32"/>
    <x v="12"/>
    <x v="727"/>
    <s v="Intern"/>
    <m/>
    <s v="Norman"/>
  </r>
  <r>
    <x v="32"/>
    <x v="12"/>
    <x v="728"/>
    <s v="Intern"/>
    <m/>
    <s v="Norman"/>
  </r>
  <r>
    <x v="32"/>
    <x v="12"/>
    <x v="729"/>
    <s v="Intern"/>
    <m/>
    <s v="Norman"/>
  </r>
  <r>
    <x v="32"/>
    <x v="18"/>
    <x v="723"/>
    <s v="Team Lead"/>
    <m/>
    <s v="Norman"/>
  </r>
  <r>
    <x v="32"/>
    <x v="18"/>
    <x v="730"/>
    <s v="Intern"/>
    <m/>
    <s v="Norman"/>
  </r>
  <r>
    <x v="32"/>
    <x v="18"/>
    <x v="731"/>
    <s v="Intern"/>
    <m/>
    <s v="Norman"/>
  </r>
  <r>
    <x v="32"/>
    <x v="18"/>
    <x v="732"/>
    <s v="Intern"/>
    <m/>
    <s v="Norman"/>
  </r>
  <r>
    <x v="32"/>
    <x v="18"/>
    <x v="733"/>
    <s v="Intern"/>
    <m/>
    <s v="Norman"/>
  </r>
  <r>
    <x v="32"/>
    <x v="14"/>
    <x v="721"/>
    <s v="Team Lead"/>
    <m/>
    <s v="OKC"/>
  </r>
  <r>
    <x v="32"/>
    <x v="14"/>
    <x v="734"/>
    <s v="Intern"/>
    <m/>
    <s v="OKC"/>
  </r>
  <r>
    <x v="32"/>
    <x v="14"/>
    <x v="735"/>
    <s v="Intern"/>
    <m/>
    <s v="OKC"/>
  </r>
  <r>
    <x v="32"/>
    <x v="6"/>
    <x v="736"/>
    <s v="Team Lead"/>
    <m/>
    <s v="Norman"/>
  </r>
  <r>
    <x v="32"/>
    <x v="6"/>
    <x v="737"/>
    <s v="Intern"/>
    <m/>
    <s v="Norman"/>
  </r>
  <r>
    <x v="32"/>
    <x v="6"/>
    <x v="738"/>
    <s v="Intern"/>
    <m/>
    <s v="Norman"/>
  </r>
  <r>
    <x v="32"/>
    <x v="6"/>
    <x v="739"/>
    <s v="Intern"/>
    <m/>
    <s v="Norman"/>
  </r>
  <r>
    <x v="32"/>
    <x v="9"/>
    <x v="656"/>
    <s v="Team Lead"/>
    <m/>
    <s v="Norman"/>
  </r>
  <r>
    <x v="32"/>
    <x v="9"/>
    <x v="740"/>
    <s v="Intern"/>
    <m/>
    <s v="Norman"/>
  </r>
  <r>
    <x v="32"/>
    <x v="9"/>
    <x v="741"/>
    <s v="Intern"/>
    <m/>
    <s v="Norman"/>
  </r>
  <r>
    <x v="32"/>
    <x v="9"/>
    <x v="742"/>
    <s v="Intern"/>
    <m/>
    <s v="Norman"/>
  </r>
  <r>
    <x v="32"/>
    <x v="10"/>
    <x v="743"/>
    <s v="Team Lead"/>
    <m/>
    <s v="Norman"/>
  </r>
  <r>
    <x v="32"/>
    <x v="10"/>
    <x v="744"/>
    <s v="Intern"/>
    <m/>
    <s v="Norman"/>
  </r>
  <r>
    <x v="32"/>
    <x v="10"/>
    <x v="745"/>
    <s v="Intern"/>
    <m/>
    <s v="Norman"/>
  </r>
  <r>
    <x v="32"/>
    <x v="10"/>
    <x v="746"/>
    <s v="Intern"/>
    <m/>
    <s v="Norman"/>
  </r>
  <r>
    <x v="32"/>
    <x v="10"/>
    <x v="747"/>
    <s v="Intern"/>
    <m/>
    <s v="Norman"/>
  </r>
  <r>
    <x v="32"/>
    <x v="10"/>
    <x v="748"/>
    <s v="Intern"/>
    <m/>
    <s v="Norman"/>
  </r>
  <r>
    <x v="32"/>
    <x v="19"/>
    <x v="749"/>
    <s v="Intern"/>
    <m/>
    <s v="Norman"/>
  </r>
  <r>
    <x v="32"/>
    <x v="19"/>
    <x v="750"/>
    <s v="Intern"/>
    <m/>
    <s v="Norman"/>
  </r>
  <r>
    <x v="32"/>
    <x v="19"/>
    <x v="751"/>
    <s v="Intern"/>
    <m/>
    <s v="Norman"/>
  </r>
  <r>
    <x v="32"/>
    <x v="3"/>
    <x v="694"/>
    <s v="Fellow"/>
    <m/>
    <s v="Norman"/>
  </r>
  <r>
    <x v="32"/>
    <x v="3"/>
    <x v="720"/>
    <s v="Fellow"/>
    <m/>
    <s v="Norman"/>
  </r>
  <r>
    <x v="32"/>
    <x v="3"/>
    <x v="752"/>
    <s v="Fellow"/>
    <m/>
    <s v="Norman"/>
  </r>
  <r>
    <x v="32"/>
    <x v="3"/>
    <x v="316"/>
    <s v="Director of Programs"/>
    <m/>
    <s v="Norman"/>
  </r>
  <r>
    <x v="32"/>
    <x v="3"/>
    <x v="97"/>
    <s v="Executive Director"/>
    <m/>
    <s v="Norman"/>
  </r>
  <r>
    <x v="32"/>
    <x v="3"/>
    <x v="676"/>
    <s v="Director of Community programs"/>
    <m/>
    <s v="Tulsa"/>
  </r>
  <r>
    <x v="33"/>
    <x v="18"/>
    <x v="733"/>
    <s v="Team Lead"/>
    <m/>
    <s v="Norman"/>
  </r>
  <r>
    <x v="33"/>
    <x v="18"/>
    <x v="753"/>
    <s v="Intern"/>
    <m/>
    <s v="Norman"/>
  </r>
  <r>
    <x v="33"/>
    <x v="18"/>
    <x v="754"/>
    <s v="Intern"/>
    <m/>
    <s v="Norman"/>
  </r>
  <r>
    <x v="33"/>
    <x v="18"/>
    <x v="755"/>
    <s v="Intern"/>
    <m/>
    <s v="Norman"/>
  </r>
  <r>
    <x v="33"/>
    <x v="18"/>
    <x v="756"/>
    <s v="Intern"/>
    <m/>
    <s v="Norman"/>
  </r>
  <r>
    <x v="33"/>
    <x v="6"/>
    <x v="738"/>
    <s v="Team Lead"/>
    <m/>
    <s v="Norman"/>
  </r>
  <r>
    <x v="33"/>
    <x v="6"/>
    <x v="757"/>
    <s v="Intern"/>
    <m/>
    <s v="Norman"/>
  </r>
  <r>
    <x v="33"/>
    <x v="6"/>
    <x v="758"/>
    <s v="Intern"/>
    <m/>
    <s v="Norman"/>
  </r>
  <r>
    <x v="33"/>
    <x v="6"/>
    <x v="759"/>
    <s v="Intern"/>
    <m/>
    <s v="Norman"/>
  </r>
  <r>
    <x v="33"/>
    <x v="6"/>
    <x v="760"/>
    <s v="Intern"/>
    <m/>
    <s v="Norman"/>
  </r>
  <r>
    <x v="33"/>
    <x v="6"/>
    <x v="761"/>
    <s v="Intern"/>
    <m/>
    <s v="Norman"/>
  </r>
  <r>
    <x v="33"/>
    <x v="14"/>
    <x v="735"/>
    <s v="Team Lead"/>
    <m/>
    <s v="OKC"/>
  </r>
  <r>
    <x v="33"/>
    <x v="14"/>
    <x v="762"/>
    <s v="Intern"/>
    <m/>
    <s v="OKC"/>
  </r>
  <r>
    <x v="33"/>
    <x v="14"/>
    <x v="763"/>
    <s v="Intern"/>
    <m/>
    <s v="OKC"/>
  </r>
  <r>
    <x v="33"/>
    <x v="14"/>
    <x v="764"/>
    <s v="Intern"/>
    <m/>
    <s v="OKC"/>
  </r>
  <r>
    <x v="33"/>
    <x v="14"/>
    <x v="765"/>
    <s v="Intern"/>
    <m/>
    <s v="OKC"/>
  </r>
  <r>
    <x v="33"/>
    <x v="9"/>
    <x v="741"/>
    <s v="Team Lead"/>
    <m/>
    <s v="Norman"/>
  </r>
  <r>
    <x v="33"/>
    <x v="9"/>
    <x v="766"/>
    <s v="Intern"/>
    <m/>
    <s v="Norman"/>
  </r>
  <r>
    <x v="33"/>
    <x v="9"/>
    <x v="767"/>
    <s v="Intern"/>
    <m/>
    <s v="Norman"/>
  </r>
  <r>
    <x v="33"/>
    <x v="9"/>
    <x v="768"/>
    <s v="Intern"/>
    <m/>
    <s v="Norman"/>
  </r>
  <r>
    <x v="33"/>
    <x v="10"/>
    <x v="746"/>
    <s v="Team Lead"/>
    <m/>
    <s v="Norman"/>
  </r>
  <r>
    <x v="33"/>
    <x v="10"/>
    <x v="769"/>
    <s v="Intern"/>
    <m/>
    <s v="Norman"/>
  </r>
  <r>
    <x v="33"/>
    <x v="10"/>
    <x v="770"/>
    <s v="Intern"/>
    <m/>
    <s v="Norman"/>
  </r>
  <r>
    <x v="33"/>
    <x v="10"/>
    <x v="771"/>
    <s v="Intern"/>
    <m/>
    <s v="Norman"/>
  </r>
  <r>
    <x v="33"/>
    <x v="10"/>
    <x v="772"/>
    <s v="Intern"/>
    <m/>
    <s v="Norman"/>
  </r>
  <r>
    <x v="33"/>
    <x v="8"/>
    <x v="725"/>
    <s v="Team Lead"/>
    <m/>
    <s v="Norman"/>
  </r>
  <r>
    <x v="33"/>
    <x v="8"/>
    <x v="773"/>
    <s v="Intern"/>
    <m/>
    <s v="Norman"/>
  </r>
  <r>
    <x v="33"/>
    <x v="8"/>
    <x v="774"/>
    <s v="Intern"/>
    <m/>
    <s v="Norman"/>
  </r>
  <r>
    <x v="33"/>
    <x v="8"/>
    <x v="775"/>
    <s v="Intern"/>
    <m/>
    <s v="Norman"/>
  </r>
  <r>
    <x v="33"/>
    <x v="8"/>
    <x v="776"/>
    <s v="Intern"/>
    <m/>
    <s v="Norman"/>
  </r>
  <r>
    <x v="33"/>
    <x v="19"/>
    <x v="777"/>
    <s v="Intern"/>
    <m/>
    <s v="Norman"/>
  </r>
  <r>
    <x v="33"/>
    <x v="19"/>
    <x v="739"/>
    <s v="Intern"/>
    <m/>
    <s v="Norman"/>
  </r>
  <r>
    <x v="33"/>
    <x v="19"/>
    <x v="749"/>
    <s v="Intern"/>
    <m/>
    <s v="Norman"/>
  </r>
  <r>
    <x v="33"/>
    <x v="19"/>
    <x v="778"/>
    <s v="Intern"/>
    <m/>
    <s v="Norman"/>
  </r>
  <r>
    <x v="33"/>
    <x v="19"/>
    <x v="721"/>
    <s v="Intern"/>
    <m/>
    <s v="Norman"/>
  </r>
  <r>
    <x v="33"/>
    <x v="19"/>
    <x v="718"/>
    <s v="Intern"/>
    <m/>
    <s v="Norman"/>
  </r>
  <r>
    <x v="33"/>
    <x v="19"/>
    <x v="779"/>
    <s v="Intern"/>
    <m/>
    <s v="Norman"/>
  </r>
  <r>
    <x v="33"/>
    <x v="3"/>
    <x v="694"/>
    <s v="Fellow"/>
    <m/>
    <s v="Norman"/>
  </r>
  <r>
    <x v="33"/>
    <x v="3"/>
    <x v="752"/>
    <s v="Fellow"/>
    <m/>
    <s v="Norman"/>
  </r>
  <r>
    <x v="33"/>
    <x v="3"/>
    <x v="720"/>
    <s v="Fellow"/>
    <m/>
    <s v="Norman"/>
  </r>
  <r>
    <x v="33"/>
    <x v="3"/>
    <x v="316"/>
    <s v="Director of Programs"/>
    <m/>
    <s v="Norman"/>
  </r>
  <r>
    <x v="33"/>
    <x v="3"/>
    <x v="97"/>
    <s v="Executive Director"/>
    <m/>
    <s v="Norman"/>
  </r>
  <r>
    <x v="33"/>
    <x v="3"/>
    <x v="676"/>
    <s v="Director of Community programs"/>
    <m/>
    <s v="Tulsa"/>
  </r>
  <r>
    <x v="34"/>
    <x v="12"/>
    <x v="780"/>
    <s v="Team Lead"/>
    <m/>
    <s v="Norman"/>
  </r>
  <r>
    <x v="34"/>
    <x v="12"/>
    <x v="781"/>
    <s v="Intern"/>
    <m/>
    <s v="Norman"/>
  </r>
  <r>
    <x v="34"/>
    <x v="12"/>
    <x v="782"/>
    <s v="Intern"/>
    <m/>
    <s v="Norman"/>
  </r>
  <r>
    <x v="34"/>
    <x v="12"/>
    <x v="783"/>
    <s v="Intern"/>
    <m/>
    <s v="Norman"/>
  </r>
  <r>
    <x v="34"/>
    <x v="12"/>
    <x v="784"/>
    <s v="Intern"/>
    <m/>
    <s v="Norman"/>
  </r>
  <r>
    <x v="34"/>
    <x v="12"/>
    <x v="785"/>
    <s v="Intern"/>
    <m/>
    <s v="Norman"/>
  </r>
  <r>
    <x v="34"/>
    <x v="18"/>
    <x v="786"/>
    <s v="Team Lead"/>
    <m/>
    <s v="Norman"/>
  </r>
  <r>
    <x v="34"/>
    <x v="18"/>
    <x v="787"/>
    <s v="Intern"/>
    <m/>
    <s v="Norman"/>
  </r>
  <r>
    <x v="34"/>
    <x v="18"/>
    <x v="788"/>
    <s v="Intern"/>
    <m/>
    <s v="Norman"/>
  </r>
  <r>
    <x v="34"/>
    <x v="18"/>
    <x v="789"/>
    <s v="Intern"/>
    <m/>
    <s v="Norman"/>
  </r>
  <r>
    <x v="34"/>
    <x v="18"/>
    <x v="790"/>
    <s v="Intern"/>
    <m/>
    <s v="Norman"/>
  </r>
  <r>
    <x v="34"/>
    <x v="6"/>
    <x v="759"/>
    <s v="Team Lead"/>
    <m/>
    <s v="Norman"/>
  </r>
  <r>
    <x v="34"/>
    <x v="6"/>
    <x v="791"/>
    <s v="Intern"/>
    <m/>
    <s v="Norman"/>
  </r>
  <r>
    <x v="34"/>
    <x v="6"/>
    <x v="792"/>
    <s v="Intern"/>
    <m/>
    <s v="Norman"/>
  </r>
  <r>
    <x v="34"/>
    <x v="6"/>
    <x v="779"/>
    <s v="Intern"/>
    <m/>
    <s v="Norman"/>
  </r>
  <r>
    <x v="34"/>
    <x v="6"/>
    <x v="793"/>
    <s v="Intern"/>
    <m/>
    <s v="Norman"/>
  </r>
  <r>
    <x v="34"/>
    <x v="14"/>
    <x v="765"/>
    <s v="Team Lead"/>
    <m/>
    <s v="OKC"/>
  </r>
  <r>
    <x v="34"/>
    <x v="14"/>
    <x v="794"/>
    <s v="Intern"/>
    <m/>
    <s v="OKC"/>
  </r>
  <r>
    <x v="34"/>
    <x v="14"/>
    <x v="777"/>
    <s v="Intern"/>
    <m/>
    <s v="OKC"/>
  </r>
  <r>
    <x v="34"/>
    <x v="14"/>
    <x v="795"/>
    <s v="Intern"/>
    <m/>
    <s v="OKC"/>
  </r>
  <r>
    <x v="34"/>
    <x v="14"/>
    <x v="796"/>
    <s v="Intern"/>
    <m/>
    <s v="OKC"/>
  </r>
  <r>
    <x v="34"/>
    <x v="9"/>
    <x v="768"/>
    <s v="Team Lead"/>
    <m/>
    <s v="Norman"/>
  </r>
  <r>
    <x v="34"/>
    <x v="9"/>
    <x v="797"/>
    <s v="Intern"/>
    <m/>
    <s v="Norman"/>
  </r>
  <r>
    <x v="34"/>
    <x v="9"/>
    <x v="798"/>
    <s v="Intern"/>
    <m/>
    <s v="Norman"/>
  </r>
  <r>
    <x v="34"/>
    <x v="9"/>
    <x v="799"/>
    <s v="Intern"/>
    <m/>
    <s v="Norman"/>
  </r>
  <r>
    <x v="34"/>
    <x v="10"/>
    <x v="769"/>
    <s v="Team Lead"/>
    <m/>
    <s v="Norman"/>
  </r>
  <r>
    <x v="34"/>
    <x v="10"/>
    <x v="800"/>
    <s v="Intern"/>
    <m/>
    <s v="Norman"/>
  </r>
  <r>
    <x v="34"/>
    <x v="10"/>
    <x v="801"/>
    <s v="Intern"/>
    <m/>
    <s v="Norman"/>
  </r>
  <r>
    <x v="34"/>
    <x v="10"/>
    <x v="802"/>
    <s v="Intern"/>
    <m/>
    <s v="Norman"/>
  </r>
  <r>
    <x v="34"/>
    <x v="10"/>
    <x v="803"/>
    <s v="Intern"/>
    <m/>
    <s v="Norman"/>
  </r>
  <r>
    <x v="34"/>
    <x v="10"/>
    <x v="804"/>
    <s v="Intern"/>
    <m/>
    <s v="Norman"/>
  </r>
  <r>
    <x v="34"/>
    <x v="19"/>
    <x v="735"/>
    <s v="Intern"/>
    <m/>
    <s v="Norman"/>
  </r>
  <r>
    <x v="34"/>
    <x v="19"/>
    <x v="757"/>
    <s v="Intern"/>
    <m/>
    <s v="Norman"/>
  </r>
  <r>
    <x v="34"/>
    <x v="19"/>
    <x v="805"/>
    <s v="Intern"/>
    <m/>
    <s v="Norman"/>
  </r>
  <r>
    <x v="34"/>
    <x v="19"/>
    <x v="806"/>
    <s v="Intern"/>
    <m/>
    <s v="Norman"/>
  </r>
  <r>
    <x v="34"/>
    <x v="19"/>
    <x v="723"/>
    <s v="Intern"/>
    <m/>
    <s v="Norman"/>
  </r>
  <r>
    <x v="34"/>
    <x v="19"/>
    <x v="807"/>
    <s v="Intern"/>
    <m/>
    <s v="Norman"/>
  </r>
  <r>
    <x v="34"/>
    <x v="3"/>
    <x v="721"/>
    <s v="Fellow"/>
    <m/>
    <s v="Norman"/>
  </r>
  <r>
    <x v="34"/>
    <x v="3"/>
    <x v="710"/>
    <s v="Fellow"/>
    <m/>
    <s v="Norman"/>
  </r>
  <r>
    <x v="34"/>
    <x v="3"/>
    <x v="694"/>
    <s v="Fellow"/>
    <m/>
    <s v="Norman"/>
  </r>
  <r>
    <x v="34"/>
    <x v="3"/>
    <x v="808"/>
    <s v="Fellow"/>
    <m/>
    <s v="OKC"/>
  </r>
  <r>
    <x v="34"/>
    <x v="3"/>
    <x v="316"/>
    <s v="Director of Programs"/>
    <m/>
    <s v="Norman"/>
  </r>
  <r>
    <x v="34"/>
    <x v="3"/>
    <x v="97"/>
    <s v="Executive Director"/>
    <m/>
    <s v="Norman"/>
  </r>
  <r>
    <x v="34"/>
    <x v="3"/>
    <x v="676"/>
    <s v="Director of Community programs"/>
    <m/>
    <s v="Tulsa"/>
  </r>
  <r>
    <x v="35"/>
    <x v="10"/>
    <x v="770"/>
    <s v="Team Lead"/>
    <s v="Patient Inform"/>
    <s v="Norman"/>
  </r>
  <r>
    <x v="35"/>
    <x v="10"/>
    <x v="809"/>
    <s v="Intern"/>
    <s v="Patient Inform"/>
    <s v="Norman"/>
  </r>
  <r>
    <x v="35"/>
    <x v="10"/>
    <x v="810"/>
    <s v="Intern"/>
    <s v="Patient Inform"/>
    <s v="Norman"/>
  </r>
  <r>
    <x v="35"/>
    <x v="10"/>
    <x v="811"/>
    <s v="Intern"/>
    <s v="Patient Inform"/>
    <s v="Norman"/>
  </r>
  <r>
    <x v="35"/>
    <x v="10"/>
    <x v="812"/>
    <s v="Intern"/>
    <s v="Patient Inform"/>
    <s v="Norman"/>
  </r>
  <r>
    <x v="35"/>
    <x v="10"/>
    <x v="813"/>
    <s v="Intern"/>
    <s v="Patient Inform"/>
    <s v="Norman"/>
  </r>
  <r>
    <x v="35"/>
    <x v="9"/>
    <x v="814"/>
    <s v="Team Lead"/>
    <s v="Patient Inform"/>
    <s v="Norman"/>
  </r>
  <r>
    <x v="35"/>
    <x v="9"/>
    <x v="815"/>
    <s v="Intern"/>
    <s v="Patient Inform"/>
    <s v="Norman"/>
  </r>
  <r>
    <x v="35"/>
    <x v="9"/>
    <x v="816"/>
    <s v="Intern"/>
    <s v="Patient Inform"/>
    <s v="Norman"/>
  </r>
  <r>
    <x v="35"/>
    <x v="9"/>
    <x v="817"/>
    <s v="Intern"/>
    <s v="Patient Inform"/>
    <s v="Norman"/>
  </r>
  <r>
    <x v="35"/>
    <x v="9"/>
    <x v="818"/>
    <s v="Intern"/>
    <s v="Patient Inform"/>
    <s v="Norman"/>
  </r>
  <r>
    <x v="35"/>
    <x v="9"/>
    <x v="819"/>
    <s v="Intern"/>
    <s v="Patient Inform"/>
    <s v="Norman"/>
  </r>
  <r>
    <x v="35"/>
    <x v="6"/>
    <x v="792"/>
    <s v="Team Lead"/>
    <m/>
    <s v="Norman"/>
  </r>
  <r>
    <x v="35"/>
    <x v="6"/>
    <x v="820"/>
    <s v="Intern"/>
    <s v="OKRespond/Kidvation"/>
    <s v="Norman"/>
  </r>
  <r>
    <x v="35"/>
    <x v="6"/>
    <x v="821"/>
    <s v="Intern"/>
    <s v="Forza"/>
    <s v="Norman"/>
  </r>
  <r>
    <x v="35"/>
    <x v="6"/>
    <x v="822"/>
    <s v="Intern"/>
    <s v="Thaetal"/>
    <s v="Norman"/>
  </r>
  <r>
    <x v="35"/>
    <x v="6"/>
    <x v="823"/>
    <s v="Intern"/>
    <s v="DonateStock"/>
    <s v="Norman"/>
  </r>
  <r>
    <x v="35"/>
    <x v="8"/>
    <x v="789"/>
    <s v="Team Lead"/>
    <s v="Bridges Foundation"/>
    <s v="Norman"/>
  </r>
  <r>
    <x v="35"/>
    <x v="8"/>
    <x v="824"/>
    <s v="Intern"/>
    <s v="Bridges Foundation"/>
    <s v="Norman"/>
  </r>
  <r>
    <x v="35"/>
    <x v="8"/>
    <x v="825"/>
    <s v="Intern"/>
    <s v="Bridges Foundation"/>
    <s v="Norman"/>
  </r>
  <r>
    <x v="35"/>
    <x v="8"/>
    <x v="826"/>
    <s v="Intern"/>
    <s v="Bridges Foundation"/>
    <s v="Norman"/>
  </r>
  <r>
    <x v="35"/>
    <x v="8"/>
    <x v="827"/>
    <s v="Intern"/>
    <s v="Bridges Foundation"/>
    <s v="Norman"/>
  </r>
  <r>
    <x v="35"/>
    <x v="12"/>
    <x v="782"/>
    <s v="Team Lead"/>
    <s v="Western Industries Corporation (WIC)"/>
    <s v="Norman"/>
  </r>
  <r>
    <x v="35"/>
    <x v="12"/>
    <x v="828"/>
    <s v="Intern"/>
    <s v="Western Industries Corporation (WIC)"/>
    <s v="Norman"/>
  </r>
  <r>
    <x v="35"/>
    <x v="12"/>
    <x v="829"/>
    <s v="Intern"/>
    <s v="Western Industries Corporation (WIC)"/>
    <s v="Norman"/>
  </r>
  <r>
    <x v="35"/>
    <x v="12"/>
    <x v="830"/>
    <s v="Intern"/>
    <s v="Western Industries Corporation (WIC)"/>
    <s v="Norman"/>
  </r>
  <r>
    <x v="35"/>
    <x v="12"/>
    <x v="831"/>
    <s v="Intern"/>
    <s v="Western Industries Corporation (WIC)"/>
    <s v="Norman"/>
  </r>
  <r>
    <x v="35"/>
    <x v="14"/>
    <x v="777"/>
    <s v="Team Lead"/>
    <s v="Fizit"/>
    <s v="OKC"/>
  </r>
  <r>
    <x v="35"/>
    <x v="14"/>
    <x v="832"/>
    <s v="Intern"/>
    <s v="Fizit"/>
    <s v="OKC"/>
  </r>
  <r>
    <x v="35"/>
    <x v="14"/>
    <x v="833"/>
    <s v="Intern"/>
    <s v="Fizit"/>
    <s v="OKC"/>
  </r>
  <r>
    <x v="35"/>
    <x v="14"/>
    <x v="834"/>
    <s v="Intern"/>
    <s v="Fizit"/>
    <s v="OKC"/>
  </r>
  <r>
    <x v="35"/>
    <x v="14"/>
    <x v="796"/>
    <s v="Team Lead"/>
    <s v="SummoxOne"/>
    <s v="OKC"/>
  </r>
  <r>
    <x v="35"/>
    <x v="14"/>
    <x v="835"/>
    <s v="Intern"/>
    <s v="SummoxOne"/>
    <s v="OKC"/>
  </r>
  <r>
    <x v="35"/>
    <x v="14"/>
    <x v="836"/>
    <s v="Intern"/>
    <s v="SummoxOne"/>
    <s v="OKC"/>
  </r>
  <r>
    <x v="35"/>
    <x v="14"/>
    <x v="837"/>
    <s v="Intern"/>
    <s v="SummoxOne"/>
    <s v="OKC"/>
  </r>
  <r>
    <x v="35"/>
    <x v="14"/>
    <x v="838"/>
    <s v="Intern"/>
    <s v="SummoxOne"/>
    <s v="OKC"/>
  </r>
  <r>
    <x v="35"/>
    <x v="19"/>
    <x v="839"/>
    <s v="Intern"/>
    <m/>
    <s v="Norman"/>
  </r>
  <r>
    <x v="35"/>
    <x v="19"/>
    <x v="840"/>
    <s v="Intern"/>
    <m/>
    <s v="Norman"/>
  </r>
  <r>
    <x v="35"/>
    <x v="19"/>
    <x v="841"/>
    <s v="Intern"/>
    <m/>
    <s v="Norman"/>
  </r>
  <r>
    <x v="35"/>
    <x v="19"/>
    <x v="797"/>
    <s v="Intern"/>
    <m/>
    <s v="Norman"/>
  </r>
  <r>
    <x v="35"/>
    <x v="19"/>
    <x v="764"/>
    <s v="Intern"/>
    <m/>
    <s v="Norman"/>
  </r>
  <r>
    <x v="35"/>
    <x v="19"/>
    <x v="765"/>
    <s v="Intern"/>
    <m/>
    <s v="Norman"/>
  </r>
  <r>
    <x v="35"/>
    <x v="3"/>
    <x v="710"/>
    <s v="Fellow"/>
    <m/>
    <s v="Norman"/>
  </r>
  <r>
    <x v="35"/>
    <x v="3"/>
    <x v="808"/>
    <s v="Fellow"/>
    <m/>
    <s v="OKC"/>
  </r>
  <r>
    <x v="35"/>
    <x v="3"/>
    <x v="316"/>
    <s v="Director of University Programs"/>
    <m/>
    <s v="Norman"/>
  </r>
  <r>
    <x v="35"/>
    <x v="3"/>
    <x v="97"/>
    <s v="Executive Director"/>
    <m/>
    <s v="Norman"/>
  </r>
  <r>
    <x v="35"/>
    <x v="3"/>
    <x v="676"/>
    <s v="Director of Community programs"/>
    <m/>
    <s v="Tulsa"/>
  </r>
  <r>
    <x v="36"/>
    <x v="10"/>
    <x v="802"/>
    <s v="Team Lead"/>
    <s v="AI Social Media Video Reels"/>
    <s v="Norman"/>
  </r>
  <r>
    <x v="36"/>
    <x v="10"/>
    <x v="842"/>
    <s v="Intern"/>
    <s v="AI Social Media Video Reels"/>
    <s v="Norman"/>
  </r>
  <r>
    <x v="36"/>
    <x v="10"/>
    <x v="843"/>
    <s v="Intern"/>
    <s v="AI Social Media Video Reels"/>
    <s v="Norman"/>
  </r>
  <r>
    <x v="36"/>
    <x v="10"/>
    <x v="844"/>
    <s v="Intern"/>
    <s v="AI Social Media Video Reels"/>
    <s v="Norman"/>
  </r>
  <r>
    <x v="36"/>
    <x v="10"/>
    <x v="845"/>
    <s v="Intern"/>
    <s v="AI Social Media Video Reels"/>
    <s v="Norman"/>
  </r>
  <r>
    <x v="36"/>
    <x v="9"/>
    <x v="814"/>
    <s v="Team Lead"/>
    <s v="AI Social Media Video Reels"/>
    <s v="Norman"/>
  </r>
  <r>
    <x v="36"/>
    <x v="9"/>
    <x v="846"/>
    <s v="Intern"/>
    <s v="AI Social Media Video Reels"/>
    <s v="Norman"/>
  </r>
  <r>
    <x v="36"/>
    <x v="9"/>
    <x v="847"/>
    <s v="Intern"/>
    <s v="AI Social Media Video Reels"/>
    <s v="Norman"/>
  </r>
  <r>
    <x v="36"/>
    <x v="9"/>
    <x v="848"/>
    <s v="Intern"/>
    <s v="AI Social Media Video Reels"/>
    <s v="Norman"/>
  </r>
  <r>
    <x v="36"/>
    <x v="9"/>
    <x v="849"/>
    <s v="Intern"/>
    <s v="AI Social Media Video Reels"/>
    <s v="Norman"/>
  </r>
  <r>
    <x v="36"/>
    <x v="6"/>
    <x v="837"/>
    <s v="Team Lead"/>
    <s v="Amplify for Women"/>
    <s v="Norman"/>
  </r>
  <r>
    <x v="36"/>
    <x v="6"/>
    <x v="850"/>
    <s v="Intern"/>
    <s v="Amplify for Women"/>
    <s v="Norman"/>
  </r>
  <r>
    <x v="36"/>
    <x v="6"/>
    <x v="851"/>
    <s v="Intern"/>
    <s v="Operation Halo"/>
    <s v="Norman"/>
  </r>
  <r>
    <x v="36"/>
    <x v="6"/>
    <x v="852"/>
    <s v="Intern"/>
    <s v="True Sky Federal Credit Union"/>
    <s v="Norman"/>
  </r>
  <r>
    <x v="36"/>
    <x v="6"/>
    <x v="853"/>
    <s v="Intern"/>
    <s v="Biolytx BP-002"/>
    <s v="Norman"/>
  </r>
  <r>
    <x v="36"/>
    <x v="11"/>
    <x v="815"/>
    <s v="Team Lead"/>
    <s v="Tulhoma"/>
    <s v="Norman"/>
  </r>
  <r>
    <x v="36"/>
    <x v="11"/>
    <x v="854"/>
    <s v="Intern"/>
    <s v="Tulhoma"/>
    <s v="Norman"/>
  </r>
  <r>
    <x v="36"/>
    <x v="11"/>
    <x v="855"/>
    <s v="Intern"/>
    <s v="Tulhoma"/>
    <s v="Norman"/>
  </r>
  <r>
    <x v="36"/>
    <x v="11"/>
    <x v="856"/>
    <s v="Intern"/>
    <s v="Tulhoma"/>
    <s v="Norman"/>
  </r>
  <r>
    <x v="36"/>
    <x v="12"/>
    <x v="828"/>
    <s v="Team Lead"/>
    <s v="Deploy Tech"/>
    <s v="Norman"/>
  </r>
  <r>
    <x v="36"/>
    <x v="12"/>
    <x v="857"/>
    <s v="Intern"/>
    <s v="Deploy Tech"/>
    <s v="Norman"/>
  </r>
  <r>
    <x v="36"/>
    <x v="12"/>
    <x v="858"/>
    <s v="Intern"/>
    <s v="Deploy Tech"/>
    <s v="Norman"/>
  </r>
  <r>
    <x v="36"/>
    <x v="12"/>
    <x v="859"/>
    <s v="Intern"/>
    <s v="Deploy Tech"/>
    <s v="Norman"/>
  </r>
  <r>
    <x v="36"/>
    <x v="14"/>
    <x v="795"/>
    <s v="Team Lead"/>
    <s v="Branched Polyethylenimine (BPEI)"/>
    <s v="OKC"/>
  </r>
  <r>
    <x v="36"/>
    <x v="14"/>
    <x v="860"/>
    <s v="Intern"/>
    <s v="Branched Polyethylenimine (BPEI)"/>
    <s v="OKC"/>
  </r>
  <r>
    <x v="36"/>
    <x v="14"/>
    <x v="836"/>
    <s v="Intern"/>
    <s v="Branched Polyethylenimine (BPEI)"/>
    <s v="OKC"/>
  </r>
  <r>
    <x v="36"/>
    <x v="14"/>
    <x v="861"/>
    <s v="Intern"/>
    <s v="Branched Polyethylenimine (BPEI)"/>
    <s v="OKC"/>
  </r>
  <r>
    <x v="36"/>
    <x v="14"/>
    <x v="862"/>
    <s v="Intern"/>
    <s v="Branched Polyethylenimine (BPEI)"/>
    <s v="OKC"/>
  </r>
  <r>
    <x v="36"/>
    <x v="19"/>
    <x v="757"/>
    <s v="Team Lead"/>
    <m/>
    <s v="Norman"/>
  </r>
  <r>
    <x v="36"/>
    <x v="19"/>
    <x v="818"/>
    <s v="Intern"/>
    <m/>
    <s v="Norman"/>
  </r>
  <r>
    <x v="36"/>
    <x v="19"/>
    <x v="797"/>
    <s v="Intern"/>
    <m/>
    <s v="Norman"/>
  </r>
  <r>
    <x v="36"/>
    <x v="19"/>
    <x v="819"/>
    <s v="Intern"/>
    <m/>
    <s v="Norman"/>
  </r>
  <r>
    <x v="36"/>
    <x v="19"/>
    <x v="798"/>
    <s v="Intern"/>
    <m/>
    <s v="Norman"/>
  </r>
  <r>
    <x v="36"/>
    <x v="19"/>
    <x v="789"/>
    <s v="Intern"/>
    <m/>
    <s v="Norman"/>
  </r>
  <r>
    <x v="36"/>
    <x v="3"/>
    <x v="779"/>
    <s v="Fellow"/>
    <m/>
    <s v="Norman"/>
  </r>
  <r>
    <x v="36"/>
    <x v="3"/>
    <x v="710"/>
    <s v="Fellow"/>
    <m/>
    <s v="Norman"/>
  </r>
  <r>
    <x v="36"/>
    <x v="3"/>
    <x v="814"/>
    <s v="Fellow"/>
    <m/>
    <s v="Norman"/>
  </r>
  <r>
    <x v="36"/>
    <x v="3"/>
    <x v="316"/>
    <s v="Director of University Programs"/>
    <m/>
    <s v="Norman"/>
  </r>
  <r>
    <x v="36"/>
    <x v="3"/>
    <x v="97"/>
    <s v="Executive Director"/>
    <m/>
    <s v="Norman"/>
  </r>
  <r>
    <x v="36"/>
    <x v="3"/>
    <x v="676"/>
    <s v="Director of Community programs"/>
    <m/>
    <s v="Tulsa"/>
  </r>
  <r>
    <x v="37"/>
    <x v="10"/>
    <x v="797"/>
    <s v="Team Lead"/>
    <s v="988 Community Responder Safety App"/>
    <s v="Norman"/>
  </r>
  <r>
    <x v="37"/>
    <x v="10"/>
    <x v="863"/>
    <s v="Intern"/>
    <s v="988 Community Responder Safety App"/>
    <s v="Norman"/>
  </r>
  <r>
    <x v="37"/>
    <x v="10"/>
    <x v="864"/>
    <s v="Intern"/>
    <s v="988 Community Responder Safety App"/>
    <s v="Norman"/>
  </r>
  <r>
    <x v="37"/>
    <x v="10"/>
    <x v="865"/>
    <s v="Intern"/>
    <s v="988 Community Responder Safety App"/>
    <s v="Norman"/>
  </r>
  <r>
    <x v="37"/>
    <x v="10"/>
    <x v="866"/>
    <s v="Intern"/>
    <s v="988 Community Responder Safety App"/>
    <s v="Norman"/>
  </r>
  <r>
    <x v="37"/>
    <x v="10"/>
    <x v="867"/>
    <s v="Intern"/>
    <s v="988 Community Responder Safety App"/>
    <s v="Norman"/>
  </r>
  <r>
    <x v="37"/>
    <x v="9"/>
    <x v="844"/>
    <s v="Team Lead"/>
    <s v="988 Community Responder Safety App"/>
    <s v="Norman"/>
  </r>
  <r>
    <x v="37"/>
    <x v="9"/>
    <x v="868"/>
    <s v="Intern"/>
    <s v="988 Community Responder Safety App"/>
    <s v="Norman"/>
  </r>
  <r>
    <x v="37"/>
    <x v="9"/>
    <x v="869"/>
    <s v="Intern"/>
    <s v="988 Community Responder Safety App"/>
    <s v="Norman"/>
  </r>
  <r>
    <x v="37"/>
    <x v="9"/>
    <x v="870"/>
    <s v="Intern"/>
    <s v="988 Community Responder Safety App"/>
    <s v="Norman"/>
  </r>
  <r>
    <x v="37"/>
    <x v="9"/>
    <x v="871"/>
    <s v="Intern"/>
    <s v="988 Community Responder Safety App"/>
    <s v="Norman"/>
  </r>
  <r>
    <x v="37"/>
    <x v="8"/>
    <x v="858"/>
    <s v="Team Lead"/>
    <s v="Callisto"/>
    <s v="Norman"/>
  </r>
  <r>
    <x v="37"/>
    <x v="8"/>
    <x v="872"/>
    <s v="Intern"/>
    <s v="Callisto"/>
    <s v="Norman"/>
  </r>
  <r>
    <x v="37"/>
    <x v="8"/>
    <x v="873"/>
    <s v="Intern"/>
    <s v="Callisto"/>
    <s v="Norman"/>
  </r>
  <r>
    <x v="37"/>
    <x v="8"/>
    <x v="874"/>
    <s v="Intern"/>
    <s v="Callisto"/>
    <s v="Norman"/>
  </r>
  <r>
    <x v="37"/>
    <x v="8"/>
    <x v="875"/>
    <s v="Intern"/>
    <s v="Callisto"/>
    <s v="Norman"/>
  </r>
  <r>
    <x v="37"/>
    <x v="8"/>
    <x v="876"/>
    <s v="Intern"/>
    <s v="Callisto"/>
    <s v="Norman"/>
  </r>
  <r>
    <x v="37"/>
    <x v="12"/>
    <x v="780"/>
    <s v="Team Lead"/>
    <s v="Home AC Monitoring Kit"/>
    <s v="Norman"/>
  </r>
  <r>
    <x v="37"/>
    <x v="12"/>
    <x v="877"/>
    <s v="Intern"/>
    <s v="Home AC Monitoring Kit"/>
    <s v="Norman"/>
  </r>
  <r>
    <x v="37"/>
    <x v="12"/>
    <x v="878"/>
    <s v="Intern"/>
    <s v="Home AC Monitoring Kit"/>
    <s v="Norman"/>
  </r>
  <r>
    <x v="37"/>
    <x v="12"/>
    <x v="879"/>
    <s v="Intern"/>
    <s v="Home AC Monitoring Kit"/>
    <s v="Norman"/>
  </r>
  <r>
    <x v="37"/>
    <x v="12"/>
    <x v="880"/>
    <s v="Intern"/>
    <s v="Home AC Monitoring Kit"/>
    <s v="Norman"/>
  </r>
  <r>
    <x v="37"/>
    <x v="14"/>
    <x v="861"/>
    <s v="Team Lead"/>
    <s v="Relatient"/>
    <s v="Norman"/>
  </r>
  <r>
    <x v="37"/>
    <x v="14"/>
    <x v="881"/>
    <s v="Intern"/>
    <s v="Relatient"/>
    <s v="Norman"/>
  </r>
  <r>
    <x v="37"/>
    <x v="14"/>
    <x v="882"/>
    <s v="Intern"/>
    <s v="Relatient"/>
    <s v="Norman"/>
  </r>
  <r>
    <x v="37"/>
    <x v="14"/>
    <x v="883"/>
    <s v="Intern"/>
    <s v="Relatient"/>
    <s v="Norman"/>
  </r>
  <r>
    <x v="37"/>
    <x v="14"/>
    <x v="884"/>
    <s v="Intern"/>
    <s v="Relatient"/>
    <s v="Norman"/>
  </r>
  <r>
    <x v="37"/>
    <x v="3"/>
    <x v="780"/>
    <s v="Fellow"/>
    <m/>
    <s v="Norman"/>
  </r>
  <r>
    <x v="37"/>
    <x v="3"/>
    <x v="779"/>
    <s v="Fellow"/>
    <m/>
    <s v="Norman"/>
  </r>
  <r>
    <x v="37"/>
    <x v="3"/>
    <x v="710"/>
    <s v="Fellow"/>
    <m/>
    <s v="Norman"/>
  </r>
  <r>
    <x v="37"/>
    <x v="3"/>
    <x v="837"/>
    <s v="Fellow"/>
    <m/>
    <s v="Norman"/>
  </r>
  <r>
    <x v="37"/>
    <x v="3"/>
    <x v="316"/>
    <s v="Director of University Programs"/>
    <m/>
    <s v="Norman"/>
  </r>
  <r>
    <x v="37"/>
    <x v="3"/>
    <x v="97"/>
    <s v="Executive Director"/>
    <m/>
    <s v="Norman"/>
  </r>
  <r>
    <x v="37"/>
    <x v="3"/>
    <x v="676"/>
    <s v="Director of Community programs"/>
    <m/>
    <s v="Tulsa"/>
  </r>
  <r>
    <x v="38"/>
    <x v="18"/>
    <x v="837"/>
    <s v="Fellow"/>
    <s v="Tobe Energy"/>
    <s v="Norman"/>
  </r>
  <r>
    <x v="38"/>
    <x v="18"/>
    <x v="854"/>
    <s v="Team Lead"/>
    <s v="Tobe Energy"/>
    <s v="Norman"/>
  </r>
  <r>
    <x v="38"/>
    <x v="18"/>
    <x v="885"/>
    <s v="Intern"/>
    <s v="Tobe Energy"/>
    <s v="Norman"/>
  </r>
  <r>
    <x v="38"/>
    <x v="18"/>
    <x v="886"/>
    <s v="Intern"/>
    <s v="Tobe Energy"/>
    <s v="Norman"/>
  </r>
  <r>
    <x v="38"/>
    <x v="18"/>
    <x v="887"/>
    <s v="Intern"/>
    <s v="Tobe Energy"/>
    <s v="Norman"/>
  </r>
  <r>
    <x v="38"/>
    <x v="18"/>
    <x v="888"/>
    <s v="Intern"/>
    <s v="Tobe Energy"/>
    <s v="Norman"/>
  </r>
  <r>
    <x v="38"/>
    <x v="6"/>
    <x v="889"/>
    <s v="Fellow"/>
    <m/>
    <s v="Norman"/>
  </r>
  <r>
    <x v="38"/>
    <x v="6"/>
    <x v="876"/>
    <s v="Team Lead"/>
    <m/>
    <s v="Norman"/>
  </r>
  <r>
    <x v="38"/>
    <x v="6"/>
    <x v="890"/>
    <s v="Intern"/>
    <s v="Flexible Heart Sensor"/>
    <s v="Norman"/>
  </r>
  <r>
    <x v="38"/>
    <x v="6"/>
    <x v="891"/>
    <s v="Intern"/>
    <s v="Pipeline Incident Software"/>
    <s v="Norman"/>
  </r>
  <r>
    <x v="38"/>
    <x v="6"/>
    <x v="892"/>
    <s v="Intern"/>
    <s v="Speckle View"/>
    <s v="Norman"/>
  </r>
  <r>
    <x v="38"/>
    <x v="6"/>
    <x v="893"/>
    <s v="Intern"/>
    <s v="Venom Biologics"/>
    <s v="Norman"/>
  </r>
  <r>
    <x v="38"/>
    <x v="10"/>
    <x v="858"/>
    <s v="Fellow"/>
    <s v="Project MJ (Mia Jackson)"/>
    <s v="Norman"/>
  </r>
  <r>
    <x v="38"/>
    <x v="10"/>
    <x v="867"/>
    <s v="Team Lead"/>
    <s v="Project MJ (Mia Jackson)"/>
    <s v="Norman"/>
  </r>
  <r>
    <x v="38"/>
    <x v="10"/>
    <x v="894"/>
    <s v="Intern"/>
    <s v="Project MJ (Mia Jackson)"/>
    <s v="Norman"/>
  </r>
  <r>
    <x v="38"/>
    <x v="10"/>
    <x v="895"/>
    <s v="Intern"/>
    <s v="Project MJ (Mia Jackson)"/>
    <s v="Norman"/>
  </r>
  <r>
    <x v="38"/>
    <x v="10"/>
    <x v="896"/>
    <s v="Intern"/>
    <s v="Project MJ (Mia Jackson)"/>
    <s v="Norman"/>
  </r>
  <r>
    <x v="38"/>
    <x v="10"/>
    <x v="897"/>
    <s v="Intern"/>
    <s v="Project MJ (Mia Jackson)"/>
    <s v="Norman"/>
  </r>
  <r>
    <x v="38"/>
    <x v="10"/>
    <x v="898"/>
    <s v="Intern"/>
    <s v="Project MJ (Mia Jackson)"/>
    <s v="Norman"/>
  </r>
  <r>
    <x v="38"/>
    <x v="9"/>
    <x v="858"/>
    <s v="Fellow"/>
    <s v="Project MJ (Mia Jackson)"/>
    <s v="Norman"/>
  </r>
  <r>
    <x v="38"/>
    <x v="9"/>
    <x v="846"/>
    <s v="Team Lead"/>
    <s v="Project MJ (Mia Jackson)"/>
    <s v="Norman"/>
  </r>
  <r>
    <x v="38"/>
    <x v="9"/>
    <x v="899"/>
    <s v="Intern"/>
    <s v="Project MJ (Mia Jackson)"/>
    <s v="Norman"/>
  </r>
  <r>
    <x v="38"/>
    <x v="9"/>
    <x v="900"/>
    <s v="Intern"/>
    <s v="Project MJ (Mia Jackson)"/>
    <s v="Norman"/>
  </r>
  <r>
    <x v="38"/>
    <x v="9"/>
    <x v="901"/>
    <s v="Intern"/>
    <s v="Project MJ (Mia Jackson)"/>
    <s v="Norman"/>
  </r>
  <r>
    <x v="38"/>
    <x v="9"/>
    <x v="902"/>
    <s v="Intern"/>
    <s v="Project MJ (Mia Jackson)"/>
    <s v="Norman"/>
  </r>
  <r>
    <x v="38"/>
    <x v="12"/>
    <x v="780"/>
    <s v="Fellow"/>
    <s v="VesprSolar"/>
    <s v="Norman"/>
  </r>
  <r>
    <x v="38"/>
    <x v="12"/>
    <x v="879"/>
    <s v="Team Lead"/>
    <s v="VesprSolar"/>
    <s v="Norman"/>
  </r>
  <r>
    <x v="38"/>
    <x v="12"/>
    <x v="903"/>
    <s v="Intern"/>
    <s v="VesprSolar"/>
    <s v="Norman"/>
  </r>
  <r>
    <x v="38"/>
    <x v="12"/>
    <x v="904"/>
    <s v="Intern"/>
    <s v="VesprSolar"/>
    <s v="Norman"/>
  </r>
  <r>
    <x v="38"/>
    <x v="12"/>
    <x v="905"/>
    <s v="Intern"/>
    <s v="VesprSolar"/>
    <s v="Norman"/>
  </r>
  <r>
    <x v="38"/>
    <x v="12"/>
    <x v="906"/>
    <s v="Intern"/>
    <s v="VesprSolar"/>
    <s v="Norman"/>
  </r>
  <r>
    <x v="38"/>
    <x v="12"/>
    <x v="907"/>
    <s v="Intern"/>
    <s v="VesprSolar"/>
    <s v="Norman"/>
  </r>
  <r>
    <x v="38"/>
    <x v="14"/>
    <x v="837"/>
    <s v="Fellow"/>
    <s v="Mohs Imaging System (OKBioStart)"/>
    <s v="OKC"/>
  </r>
  <r>
    <x v="38"/>
    <x v="14"/>
    <x v="889"/>
    <s v="Fellow"/>
    <s v="Mohs Imaging System (OKBioStart)"/>
    <s v="OKC"/>
  </r>
  <r>
    <x v="38"/>
    <x v="14"/>
    <x v="882"/>
    <s v="Team Lead"/>
    <s v="Mohs Imaging System (OKBioStart)"/>
    <s v="OKC"/>
  </r>
  <r>
    <x v="38"/>
    <x v="14"/>
    <x v="908"/>
    <s v="Intern"/>
    <s v="Mohs Imaging System (OKBioStart)"/>
    <s v="OKC"/>
  </r>
  <r>
    <x v="38"/>
    <x v="14"/>
    <x v="909"/>
    <s v="Intern"/>
    <s v="Mohs Imaging System (OKBioStart)"/>
    <s v="OKC"/>
  </r>
  <r>
    <x v="38"/>
    <x v="14"/>
    <x v="910"/>
    <s v="Intern"/>
    <s v="Mohs Imaging System (OKBioStart)"/>
    <s v="OKC"/>
  </r>
  <r>
    <x v="38"/>
    <x v="14"/>
    <x v="911"/>
    <s v="Intern"/>
    <s v="Mohs Imaging System (OKBioStart)"/>
    <s v="OKC"/>
  </r>
  <r>
    <x v="38"/>
    <x v="19"/>
    <x v="797"/>
    <s v="Fellow"/>
    <m/>
    <s v="Norman"/>
  </r>
  <r>
    <x v="38"/>
    <x v="19"/>
    <x v="868"/>
    <s v="Intern"/>
    <m/>
    <s v="Norman"/>
  </r>
  <r>
    <x v="38"/>
    <x v="19"/>
    <x v="870"/>
    <s v="Intern"/>
    <m/>
    <s v="Norman"/>
  </r>
  <r>
    <x v="38"/>
    <x v="19"/>
    <x v="878"/>
    <s v="Intern"/>
    <m/>
    <s v="Norman"/>
  </r>
  <r>
    <x v="38"/>
    <x v="19"/>
    <x v="874"/>
    <s v="Intern"/>
    <m/>
    <s v="Norman"/>
  </r>
  <r>
    <x v="38"/>
    <x v="3"/>
    <x v="97"/>
    <s v="Executive Director"/>
    <m/>
    <s v="Norman"/>
  </r>
  <r>
    <x v="38"/>
    <x v="3"/>
    <x v="316"/>
    <s v="Director of University Programs"/>
    <m/>
    <s v="Norman"/>
  </r>
  <r>
    <x v="38"/>
    <x v="3"/>
    <x v="676"/>
    <s v="Director of Community programs"/>
    <m/>
    <s v="Tulsa"/>
  </r>
  <r>
    <x v="38"/>
    <x v="3"/>
    <x v="780"/>
    <s v="Fellow"/>
    <m/>
    <s v="Norman"/>
  </r>
  <r>
    <x v="38"/>
    <x v="3"/>
    <x v="858"/>
    <s v="Fellow"/>
    <m/>
    <s v="Norman"/>
  </r>
  <r>
    <x v="38"/>
    <x v="3"/>
    <x v="889"/>
    <s v="Fellow"/>
    <m/>
    <s v="Norman"/>
  </r>
  <r>
    <x v="38"/>
    <x v="3"/>
    <x v="837"/>
    <s v="Fellow"/>
    <m/>
    <s v="Norm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9A899-6459-4290-9852-9E58F36CF681}" name="PivotTable1" cacheId="466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2:B132" firstHeaderRow="1" firstDataRow="1" firstDataCol="2" rowPageCount="1" colPageCount="1"/>
  <pivotFields count="6">
    <pivotField axis="axisRow" compact="0" outline="0" showAll="0">
      <items count="40">
        <item x="0"/>
        <item x="2"/>
        <item x="1"/>
        <item x="4"/>
        <item x="3"/>
        <item x="6"/>
        <item x="5"/>
        <item x="8"/>
        <item x="7"/>
        <item x="10"/>
        <item x="9"/>
        <item x="12"/>
        <item x="11"/>
        <item x="14"/>
        <item x="13"/>
        <item x="16"/>
        <item x="15"/>
        <item x="18"/>
        <item x="17"/>
        <item x="20"/>
        <item x="19"/>
        <item x="22"/>
        <item x="21"/>
        <item x="24"/>
        <item x="23"/>
        <item x="26"/>
        <item x="25"/>
        <item x="28"/>
        <item x="27"/>
        <item x="30"/>
        <item x="29"/>
        <item x="32"/>
        <item x="31"/>
        <item x="34"/>
        <item x="33"/>
        <item x="36"/>
        <item x="35"/>
        <item x="38"/>
        <item x="37"/>
        <item t="default"/>
      </items>
    </pivotField>
    <pivotField axis="axisPage" compact="0" outline="0" showAll="0">
      <items count="21">
        <item x="12"/>
        <item h="1" x="16"/>
        <item h="1" x="11"/>
        <item h="1" x="18"/>
        <item h="1" x="6"/>
        <item h="1" x="15"/>
        <item h="1" x="14"/>
        <item h="1" x="9"/>
        <item h="1" x="10"/>
        <item h="1" x="8"/>
        <item h="1" x="3"/>
        <item h="1" x="0"/>
        <item h="1" x="1"/>
        <item h="1" x="2"/>
        <item h="1" x="4"/>
        <item h="1" x="7"/>
        <item h="1" x="13"/>
        <item h="1" x="5"/>
        <item h="1" x="19"/>
        <item h="1" x="17"/>
        <item t="default"/>
      </items>
    </pivotField>
    <pivotField axis="axisRow" compact="0" outline="0" showAll="0">
      <items count="913">
        <item x="539"/>
        <item x="778"/>
        <item x="751"/>
        <item x="523"/>
        <item x="543"/>
        <item x="850"/>
        <item x="761"/>
        <item x="757"/>
        <item x="839"/>
        <item x="660"/>
        <item x="494"/>
        <item x="223"/>
        <item x="282"/>
        <item x="45"/>
        <item x="152"/>
        <item x="805"/>
        <item x="834"/>
        <item x="698"/>
        <item x="233"/>
        <item x="784"/>
        <item x="853"/>
        <item x="773"/>
        <item x="664"/>
        <item x="842"/>
        <item x="559"/>
        <item x="416"/>
        <item x="218"/>
        <item x="517"/>
        <item x="581"/>
        <item x="210"/>
        <item x="566"/>
        <item x="389"/>
        <item x="338"/>
        <item x="339"/>
        <item x="129"/>
        <item x="846"/>
        <item x="619"/>
        <item x="198"/>
        <item x="205"/>
        <item x="113"/>
        <item x="908"/>
        <item x="890"/>
        <item x="472"/>
        <item x="123"/>
        <item x="271"/>
        <item x="260"/>
        <item x="175"/>
        <item x="869"/>
        <item x="206"/>
        <item x="576"/>
        <item x="343"/>
        <item x="368"/>
        <item x="366"/>
        <item x="465"/>
        <item x="27"/>
        <item x="43"/>
        <item x="809"/>
        <item x="95"/>
        <item x="560"/>
        <item x="279"/>
        <item x="317"/>
        <item x="844"/>
        <item x="147"/>
        <item x="876"/>
        <item x="513"/>
        <item x="572"/>
        <item x="177"/>
        <item x="621"/>
        <item x="838"/>
        <item x="726"/>
        <item x="391"/>
        <item x="91"/>
        <item x="151"/>
        <item x="430"/>
        <item x="253"/>
        <item x="228"/>
        <item x="10"/>
        <item x="570"/>
        <item x="358"/>
        <item x="194"/>
        <item x="880"/>
        <item x="885"/>
        <item x="883"/>
        <item x="597"/>
        <item x="520"/>
        <item x="376"/>
        <item x="116"/>
        <item x="886"/>
        <item x="712"/>
        <item x="446"/>
        <item x="554"/>
        <item x="547"/>
        <item x="335"/>
        <item x="298"/>
        <item x="661"/>
        <item x="301"/>
        <item x="314"/>
        <item x="111"/>
        <item x="779"/>
        <item x="575"/>
        <item x="598"/>
        <item x="618"/>
        <item x="524"/>
        <item x="204"/>
        <item x="586"/>
        <item x="692"/>
        <item x="75"/>
        <item x="64"/>
        <item x="717"/>
        <item x="507"/>
        <item x="608"/>
        <item x="396"/>
        <item x="347"/>
        <item x="54"/>
        <item x="100"/>
        <item x="802"/>
        <item x="858"/>
        <item x="516"/>
        <item x="350"/>
        <item x="56"/>
        <item x="4"/>
        <item x="80"/>
        <item x="375"/>
        <item x="873"/>
        <item x="307"/>
        <item x="467"/>
        <item x="155"/>
        <item x="894"/>
        <item x="701"/>
        <item x="673"/>
        <item x="469"/>
        <item x="502"/>
        <item x="193"/>
        <item x="24"/>
        <item x="128"/>
        <item x="811"/>
        <item x="2"/>
        <item x="424"/>
        <item x="353"/>
        <item x="65"/>
        <item x="765"/>
        <item x="23"/>
        <item x="781"/>
        <item x="323"/>
        <item x="891"/>
        <item x="280"/>
        <item x="767"/>
        <item x="17"/>
        <item x="355"/>
        <item x="127"/>
        <item x="349"/>
        <item x="330"/>
        <item x="546"/>
        <item x="19"/>
        <item x="334"/>
        <item x="605"/>
        <item x="308"/>
        <item x="70"/>
        <item x="503"/>
        <item x="362"/>
        <item x="256"/>
        <item x="109"/>
        <item x="721"/>
        <item x="196"/>
        <item x="135"/>
        <item x="814"/>
        <item x="787"/>
        <item x="574"/>
        <item x="847"/>
        <item x="160"/>
        <item x="584"/>
        <item x="874"/>
        <item x="443"/>
        <item x="137"/>
        <item x="263"/>
        <item x="909"/>
        <item x="199"/>
        <item x="386"/>
        <item x="12"/>
        <item x="166"/>
        <item x="133"/>
        <item x="708"/>
        <item x="316"/>
        <item x="342"/>
        <item x="451"/>
        <item x="537"/>
        <item x="273"/>
        <item x="800"/>
        <item x="782"/>
        <item x="595"/>
        <item x="615"/>
        <item x="875"/>
        <item x="622"/>
        <item x="21"/>
        <item x="603"/>
        <item x="397"/>
        <item x="188"/>
        <item x="25"/>
        <item x="548"/>
        <item x="88"/>
        <item x="294"/>
        <item x="730"/>
        <item x="352"/>
        <item x="132"/>
        <item x="184"/>
        <item x="821"/>
        <item x="37"/>
        <item x="509"/>
        <item x="725"/>
        <item x="171"/>
        <item x="110"/>
        <item x="488"/>
        <item x="356"/>
        <item x="487"/>
        <item x="881"/>
        <item x="312"/>
        <item x="804"/>
        <item x="649"/>
        <item x="676"/>
        <item x="413"/>
        <item x="305"/>
        <item x="483"/>
        <item x="257"/>
        <item x="112"/>
        <item x="476"/>
        <item x="612"/>
        <item x="419"/>
        <item x="313"/>
        <item x="665"/>
        <item x="749"/>
        <item x="399"/>
        <item x="526"/>
        <item x="633"/>
        <item x="359"/>
        <item x="365"/>
        <item x="630"/>
        <item x="189"/>
        <item x="501"/>
        <item x="92"/>
        <item x="103"/>
        <item x="284"/>
        <item x="864"/>
        <item x="775"/>
        <item x="220"/>
        <item x="331"/>
        <item x="415"/>
        <item x="11"/>
        <item x="344"/>
        <item x="813"/>
        <item x="447"/>
        <item x="910"/>
        <item x="374"/>
        <item x="250"/>
        <item x="58"/>
        <item x="122"/>
        <item x="115"/>
        <item x="903"/>
        <item x="589"/>
        <item x="879"/>
        <item x="531"/>
        <item x="840"/>
        <item x="67"/>
        <item x="35"/>
        <item x="760"/>
        <item x="287"/>
        <item x="324"/>
        <item x="252"/>
        <item x="851"/>
        <item x="140"/>
        <item x="774"/>
        <item x="786"/>
        <item x="889"/>
        <item x="655"/>
        <item x="197"/>
        <item x="735"/>
        <item x="556"/>
        <item x="462"/>
        <item x="429"/>
        <item x="159"/>
        <item x="325"/>
        <item x="610"/>
        <item x="553"/>
        <item x="427"/>
        <item x="14"/>
        <item x="587"/>
        <item x="678"/>
        <item x="628"/>
        <item x="699"/>
        <item x="817"/>
        <item x="242"/>
        <item x="201"/>
        <item x="321"/>
        <item x="860"/>
        <item x="573"/>
        <item x="453"/>
        <item x="164"/>
        <item x="579"/>
        <item x="464"/>
        <item x="519"/>
        <item x="656"/>
        <item x="479"/>
        <item x="812"/>
        <item x="835"/>
        <item x="669"/>
        <item x="736"/>
        <item x="118"/>
        <item x="578"/>
        <item x="254"/>
        <item x="490"/>
        <item x="583"/>
        <item x="136"/>
        <item x="146"/>
        <item x="373"/>
        <item x="727"/>
        <item x="738"/>
        <item x="892"/>
        <item x="871"/>
        <item x="745"/>
        <item x="29"/>
        <item x="750"/>
        <item x="722"/>
        <item x="627"/>
        <item x="267"/>
        <item x="106"/>
        <item x="601"/>
        <item x="565"/>
        <item x="816"/>
        <item x="61"/>
        <item x="417"/>
        <item x="459"/>
        <item x="105"/>
        <item x="505"/>
        <item x="544"/>
        <item x="613"/>
        <item x="752"/>
        <item x="337"/>
        <item x="439"/>
        <item x="68"/>
        <item x="66"/>
        <item x="533"/>
        <item x="438"/>
        <item x="224"/>
        <item x="407"/>
        <item x="384"/>
        <item x="654"/>
        <item x="753"/>
        <item x="382"/>
        <item x="659"/>
        <item x="192"/>
        <item x="173"/>
        <item x="877"/>
        <item x="818"/>
        <item x="345"/>
        <item x="83"/>
        <item x="865"/>
        <item x="866"/>
        <item x="426"/>
        <item x="687"/>
        <item x="689"/>
        <item x="648"/>
        <item x="641"/>
        <item x="409"/>
        <item x="202"/>
        <item x="341"/>
        <item x="739"/>
        <item x="102"/>
        <item x="489"/>
        <item x="493"/>
        <item x="0"/>
        <item x="557"/>
        <item x="272"/>
        <item x="837"/>
        <item x="364"/>
        <item x="149"/>
        <item x="731"/>
        <item x="561"/>
        <item x="380"/>
        <item x="209"/>
        <item x="770"/>
        <item x="283"/>
        <item x="303"/>
        <item x="674"/>
        <item x="167"/>
        <item x="60"/>
        <item x="441"/>
        <item x="857"/>
        <item x="632"/>
        <item x="16"/>
        <item x="101"/>
        <item x="296"/>
        <item x="319"/>
        <item x="15"/>
        <item x="249"/>
        <item x="97"/>
        <item x="187"/>
        <item x="156"/>
        <item x="96"/>
        <item x="244"/>
        <item x="702"/>
        <item x="57"/>
        <item x="792"/>
        <item x="405"/>
        <item x="432"/>
        <item x="306"/>
        <item x="238"/>
        <item x="131"/>
        <item x="711"/>
        <item x="73"/>
        <item x="707"/>
        <item x="504"/>
        <item x="329"/>
        <item x="682"/>
        <item x="471"/>
        <item x="662"/>
        <item x="157"/>
        <item x="243"/>
        <item x="468"/>
        <item x="400"/>
        <item x="322"/>
        <item x="180"/>
        <item x="72"/>
        <item x="723"/>
        <item x="86"/>
        <item x="69"/>
        <item x="514"/>
        <item x="562"/>
        <item x="259"/>
        <item x="33"/>
        <item x="734"/>
        <item x="290"/>
        <item x="742"/>
        <item x="741"/>
        <item x="718"/>
        <item x="436"/>
        <item x="474"/>
        <item x="478"/>
        <item x="558"/>
        <item x="277"/>
        <item x="421"/>
        <item x="326"/>
        <item x="8"/>
        <item x="138"/>
        <item x="381"/>
        <item x="346"/>
        <item x="895"/>
        <item x="535"/>
        <item x="657"/>
        <item x="55"/>
        <item x="762"/>
        <item x="620"/>
        <item x="270"/>
        <item x="418"/>
        <item x="174"/>
        <item x="44"/>
        <item x="93"/>
        <item x="234"/>
        <item x="20"/>
        <item x="425"/>
        <item x="795"/>
        <item x="841"/>
        <item x="754"/>
        <item x="822"/>
        <item x="534"/>
        <item x="887"/>
        <item x="783"/>
        <item x="540"/>
        <item x="744"/>
        <item x="856"/>
        <item x="803"/>
        <item x="568"/>
        <item x="433"/>
        <item x="658"/>
        <item x="836"/>
        <item x="542"/>
        <item x="285"/>
        <item x="591"/>
        <item x="896"/>
        <item x="550"/>
        <item x="646"/>
        <item x="125"/>
        <item x="121"/>
        <item x="541"/>
        <item x="854"/>
        <item x="588"/>
        <item x="385"/>
        <item x="899"/>
        <item x="302"/>
        <item x="395"/>
        <item x="208"/>
        <item x="304"/>
        <item x="686"/>
        <item x="327"/>
        <item x="281"/>
        <item x="31"/>
        <item x="36"/>
        <item x="332"/>
        <item x="764"/>
        <item x="715"/>
        <item x="222"/>
        <item x="691"/>
        <item x="634"/>
        <item x="195"/>
        <item x="141"/>
        <item x="59"/>
        <item x="299"/>
        <item x="810"/>
        <item x="47"/>
        <item x="231"/>
        <item x="666"/>
        <item x="833"/>
        <item x="521"/>
        <item x="292"/>
        <item x="39"/>
        <item x="278"/>
        <item x="383"/>
        <item x="445"/>
        <item x="617"/>
        <item x="236"/>
        <item x="229"/>
        <item x="30"/>
        <item x="213"/>
        <item x="232"/>
        <item x="309"/>
        <item x="585"/>
        <item x="291"/>
        <item x="351"/>
        <item x="486"/>
        <item x="904"/>
        <item x="755"/>
        <item x="538"/>
        <item x="63"/>
        <item x="458"/>
        <item x="609"/>
        <item x="7"/>
        <item x="18"/>
        <item x="225"/>
        <item x="161"/>
        <item x="670"/>
        <item x="76"/>
        <item x="251"/>
        <item x="766"/>
        <item x="759"/>
        <item x="785"/>
        <item x="799"/>
        <item x="245"/>
        <item x="297"/>
        <item x="215"/>
        <item x="808"/>
        <item x="90"/>
        <item x="861"/>
        <item x="716"/>
        <item x="179"/>
        <item x="713"/>
        <item x="640"/>
        <item x="697"/>
        <item x="807"/>
        <item x="769"/>
        <item x="310"/>
        <item x="6"/>
        <item x="62"/>
        <item x="387"/>
        <item x="473"/>
        <item x="401"/>
        <item x="828"/>
        <item x="1"/>
        <item x="500"/>
        <item x="796"/>
        <item x="848"/>
        <item x="794"/>
        <item x="571"/>
        <item x="142"/>
        <item x="551"/>
        <item x="905"/>
        <item x="457"/>
        <item x="46"/>
        <item x="52"/>
        <item x="300"/>
        <item x="398"/>
        <item x="855"/>
        <item x="900"/>
        <item x="414"/>
        <item x="248"/>
        <item x="320"/>
        <item x="440"/>
        <item x="743"/>
        <item x="348"/>
        <item x="370"/>
        <item x="269"/>
        <item x="408"/>
        <item x="108"/>
        <item x="276"/>
        <item x="286"/>
        <item x="239"/>
        <item x="758"/>
        <item x="221"/>
        <item x="264"/>
        <item x="528"/>
        <item x="732"/>
        <item x="650"/>
        <item x="569"/>
        <item x="563"/>
        <item x="675"/>
        <item x="484"/>
        <item x="48"/>
        <item x="832"/>
        <item x="40"/>
        <item x="798"/>
        <item x="255"/>
        <item x="369"/>
        <item x="50"/>
        <item x="884"/>
        <item x="158"/>
        <item x="679"/>
        <item x="577"/>
        <item x="882"/>
        <item x="420"/>
        <item x="555"/>
        <item x="85"/>
        <item x="361"/>
        <item x="592"/>
        <item x="626"/>
        <item x="878"/>
        <item x="863"/>
        <item x="606"/>
        <item x="495"/>
        <item x="480"/>
        <item x="776"/>
        <item x="403"/>
        <item x="454"/>
        <item x="186"/>
        <item x="719"/>
        <item x="178"/>
        <item x="820"/>
        <item x="497"/>
        <item x="849"/>
        <item x="241"/>
        <item x="529"/>
        <item x="893"/>
        <item x="354"/>
        <item x="888"/>
        <item x="169"/>
        <item x="150"/>
        <item x="217"/>
        <item x="311"/>
        <item x="428"/>
        <item x="226"/>
        <item x="247"/>
        <item x="859"/>
        <item x="829"/>
        <item x="227"/>
        <item x="212"/>
        <item x="144"/>
        <item x="549"/>
        <item x="315"/>
        <item x="663"/>
        <item x="747"/>
        <item x="777"/>
        <item x="638"/>
        <item x="724"/>
        <item x="672"/>
        <item x="293"/>
        <item x="117"/>
        <item x="791"/>
        <item x="71"/>
        <item x="518"/>
        <item x="496"/>
        <item x="510"/>
        <item x="897"/>
        <item x="667"/>
        <item x="705"/>
        <item x="181"/>
        <item x="680"/>
        <item x="98"/>
        <item x="333"/>
        <item x="288"/>
        <item x="318"/>
        <item x="845"/>
        <item x="593"/>
        <item x="635"/>
        <item x="780"/>
        <item x="728"/>
        <item x="710"/>
        <item x="824"/>
        <item x="378"/>
        <item x="552"/>
        <item x="706"/>
        <item x="590"/>
        <item x="265"/>
        <item x="677"/>
        <item x="652"/>
        <item x="709"/>
        <item x="768"/>
        <item x="360"/>
        <item x="616"/>
        <item x="636"/>
        <item x="450"/>
        <item x="460"/>
        <item x="165"/>
        <item x="700"/>
        <item x="668"/>
        <item x="499"/>
        <item x="611"/>
        <item x="126"/>
        <item x="763"/>
        <item x="852"/>
        <item x="455"/>
        <item x="843"/>
        <item x="289"/>
        <item x="168"/>
        <item x="379"/>
        <item x="190"/>
        <item x="771"/>
        <item x="901"/>
        <item x="902"/>
        <item x="720"/>
        <item x="498"/>
        <item x="536"/>
        <item x="120"/>
        <item x="162"/>
        <item x="582"/>
        <item x="163"/>
        <item x="645"/>
        <item x="532"/>
        <item x="148"/>
        <item x="390"/>
        <item x="268"/>
        <item x="3"/>
        <item x="32"/>
        <item x="357"/>
        <item x="230"/>
        <item x="143"/>
        <item x="49"/>
        <item x="377"/>
        <item x="823"/>
        <item x="89"/>
        <item x="275"/>
        <item x="695"/>
        <item x="87"/>
        <item x="200"/>
        <item x="5"/>
        <item x="475"/>
        <item x="614"/>
        <item x="623"/>
        <item x="406"/>
        <item x="394"/>
        <item x="119"/>
        <item x="42"/>
        <item x="176"/>
        <item x="219"/>
        <item x="74"/>
        <item x="827"/>
        <item x="99"/>
        <item x="134"/>
        <item x="412"/>
        <item x="274"/>
        <item x="477"/>
        <item x="826"/>
        <item x="639"/>
        <item x="788"/>
        <item x="694"/>
        <item x="172"/>
        <item x="211"/>
        <item x="393"/>
        <item x="154"/>
        <item x="9"/>
        <item x="491"/>
        <item x="336"/>
        <item x="84"/>
        <item x="388"/>
        <item x="466"/>
        <item x="107"/>
        <item x="367"/>
        <item x="653"/>
        <item x="527"/>
        <item x="512"/>
        <item x="651"/>
        <item x="515"/>
        <item x="862"/>
        <item x="492"/>
        <item x="246"/>
        <item x="461"/>
        <item x="604"/>
        <item x="596"/>
        <item x="684"/>
        <item x="463"/>
        <item x="733"/>
        <item x="295"/>
        <item x="207"/>
        <item x="607"/>
        <item x="452"/>
        <item x="703"/>
        <item x="637"/>
        <item x="262"/>
        <item x="825"/>
        <item x="456"/>
        <item x="522"/>
        <item x="740"/>
        <item x="567"/>
        <item x="594"/>
        <item x="114"/>
        <item x="53"/>
        <item x="328"/>
        <item x="448"/>
        <item x="411"/>
        <item x="402"/>
        <item x="819"/>
        <item x="340"/>
        <item x="235"/>
        <item x="266"/>
        <item x="772"/>
        <item x="41"/>
        <item x="690"/>
        <item x="237"/>
        <item x="898"/>
        <item x="696"/>
        <item x="789"/>
        <item x="392"/>
        <item x="688"/>
        <item x="756"/>
        <item x="182"/>
        <item x="139"/>
        <item x="797"/>
        <item x="258"/>
        <item x="642"/>
        <item x="437"/>
        <item x="868"/>
        <item x="704"/>
        <item x="481"/>
        <item x="153"/>
        <item x="442"/>
        <item x="78"/>
        <item x="714"/>
        <item x="801"/>
        <item x="511"/>
        <item x="647"/>
        <item x="907"/>
        <item x="806"/>
        <item x="629"/>
        <item x="671"/>
        <item x="185"/>
        <item x="216"/>
        <item x="530"/>
        <item x="444"/>
        <item x="746"/>
        <item x="643"/>
        <item x="79"/>
        <item x="685"/>
        <item x="81"/>
        <item x="371"/>
        <item x="525"/>
        <item x="790"/>
        <item x="51"/>
        <item x="410"/>
        <item x="28"/>
        <item x="372"/>
        <item x="423"/>
        <item x="599"/>
        <item x="38"/>
        <item x="470"/>
        <item x="26"/>
        <item x="13"/>
        <item x="170"/>
        <item x="191"/>
        <item x="867"/>
        <item x="404"/>
        <item x="482"/>
        <item x="22"/>
        <item x="130"/>
        <item x="431"/>
        <item x="435"/>
        <item x="872"/>
        <item x="434"/>
        <item x="631"/>
        <item x="831"/>
        <item x="449"/>
        <item x="793"/>
        <item x="729"/>
        <item x="82"/>
        <item x="104"/>
        <item x="214"/>
        <item x="681"/>
        <item x="625"/>
        <item x="261"/>
        <item x="506"/>
        <item x="485"/>
        <item x="815"/>
        <item x="508"/>
        <item x="602"/>
        <item x="683"/>
        <item x="34"/>
        <item x="240"/>
        <item x="94"/>
        <item x="748"/>
        <item x="870"/>
        <item x="124"/>
        <item x="363"/>
        <item x="600"/>
        <item x="545"/>
        <item x="77"/>
        <item x="830"/>
        <item x="145"/>
        <item x="183"/>
        <item x="422"/>
        <item x="911"/>
        <item x="203"/>
        <item x="564"/>
        <item x="906"/>
        <item x="580"/>
        <item x="644"/>
        <item x="693"/>
        <item x="737"/>
        <item x="624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0"/>
    <field x="2"/>
  </rowFields>
  <rowItems count="120">
    <i>
      <x v="19"/>
      <x v="230"/>
    </i>
    <i r="1">
      <x v="417"/>
    </i>
    <i r="1">
      <x v="562"/>
    </i>
    <i r="1">
      <x v="577"/>
    </i>
    <i r="1">
      <x v="804"/>
    </i>
    <i r="1">
      <x v="806"/>
    </i>
    <i t="default">
      <x v="19"/>
    </i>
    <i>
      <x v="20"/>
      <x v="251"/>
    </i>
    <i r="1">
      <x v="312"/>
    </i>
    <i r="1">
      <x v="586"/>
    </i>
    <i r="1">
      <x v="848"/>
    </i>
    <i r="1">
      <x v="854"/>
    </i>
    <i t="default">
      <x v="20"/>
    </i>
    <i>
      <x v="21"/>
      <x v="276"/>
    </i>
    <i r="1">
      <x v="329"/>
    </i>
    <i r="1">
      <x v="531"/>
    </i>
    <i r="1">
      <x v="573"/>
    </i>
    <i r="1">
      <x v="696"/>
    </i>
    <i r="1">
      <x v="780"/>
    </i>
    <i t="default">
      <x v="21"/>
    </i>
    <i>
      <x v="22"/>
      <x v="417"/>
    </i>
    <i r="1">
      <x v="438"/>
    </i>
    <i r="1">
      <x v="615"/>
    </i>
    <i r="1">
      <x v="855"/>
    </i>
    <i r="1">
      <x v="902"/>
    </i>
    <i t="default">
      <x v="22"/>
    </i>
    <i>
      <x v="23"/>
      <x v="27"/>
    </i>
    <i r="1">
      <x v="117"/>
    </i>
    <i r="1">
      <x v="298"/>
    </i>
    <i r="1">
      <x v="624"/>
    </i>
    <i r="1">
      <x v="664"/>
    </i>
    <i t="default">
      <x v="23"/>
    </i>
    <i>
      <x v="24"/>
      <x v="10"/>
    </i>
    <i r="1">
      <x v="624"/>
    </i>
    <i r="1">
      <x v="633"/>
    </i>
    <i r="1">
      <x v="665"/>
    </i>
    <i r="1">
      <x v="802"/>
    </i>
    <i t="default">
      <x v="24"/>
    </i>
    <i>
      <x v="25"/>
      <x v="49"/>
    </i>
    <i r="1">
      <x v="99"/>
    </i>
    <i r="1">
      <x v="306"/>
    </i>
    <i r="1">
      <x v="600"/>
    </i>
    <i r="1">
      <x v="613"/>
    </i>
    <i r="1">
      <x v="883"/>
    </i>
    <i t="default">
      <x v="25"/>
    </i>
    <i>
      <x v="26"/>
      <x v="30"/>
    </i>
    <i r="1">
      <x v="325"/>
    </i>
    <i r="1">
      <x v="600"/>
    </i>
    <i r="1">
      <x v="624"/>
    </i>
    <i r="1">
      <x v="905"/>
    </i>
    <i t="default">
      <x v="26"/>
    </i>
    <i>
      <x v="27"/>
      <x v="182"/>
    </i>
    <i r="1">
      <x v="235"/>
    </i>
    <i r="1">
      <x v="386"/>
    </i>
    <i r="1">
      <x v="532"/>
    </i>
    <i r="1">
      <x v="837"/>
    </i>
    <i r="1">
      <x v="872"/>
    </i>
    <i t="default">
      <x v="27"/>
    </i>
    <i>
      <x v="28"/>
      <x v="99"/>
    </i>
    <i r="1">
      <x v="110"/>
    </i>
    <i r="1">
      <x v="532"/>
    </i>
    <i r="1">
      <x v="623"/>
    </i>
    <i r="1">
      <x v="788"/>
    </i>
    <i t="default">
      <x v="28"/>
    </i>
    <i>
      <x v="29"/>
      <x v="285"/>
    </i>
    <i r="1">
      <x v="411"/>
    </i>
    <i r="1">
      <x v="612"/>
    </i>
    <i r="1">
      <x v="671"/>
    </i>
    <i r="1">
      <x v="688"/>
    </i>
    <i r="1">
      <x v="880"/>
    </i>
    <i t="default">
      <x v="29"/>
    </i>
    <i>
      <x v="30"/>
      <x v="235"/>
    </i>
    <i r="1">
      <x v="598"/>
    </i>
    <i r="1">
      <x v="689"/>
    </i>
    <i r="1">
      <x v="772"/>
    </i>
    <i r="1">
      <x v="775"/>
    </i>
    <i t="default">
      <x v="30"/>
    </i>
    <i>
      <x v="31"/>
      <x v="69"/>
    </i>
    <i r="1">
      <x v="313"/>
    </i>
    <i r="1">
      <x v="680"/>
    </i>
    <i r="1">
      <x v="681"/>
    </i>
    <i r="1">
      <x v="876"/>
    </i>
    <i t="default">
      <x v="31"/>
    </i>
    <i>
      <x v="32"/>
      <x v="181"/>
    </i>
    <i r="1">
      <x v="612"/>
    </i>
    <i r="1">
      <x v="681"/>
    </i>
    <i r="1">
      <x v="690"/>
    </i>
    <i t="default">
      <x v="32"/>
    </i>
    <i>
      <x v="33"/>
      <x v="19"/>
    </i>
    <i r="1">
      <x v="142"/>
    </i>
    <i r="1">
      <x v="188"/>
    </i>
    <i r="1">
      <x v="464"/>
    </i>
    <i r="1">
      <x v="542"/>
    </i>
    <i r="1">
      <x v="679"/>
    </i>
    <i t="default">
      <x v="33"/>
    </i>
    <i>
      <x v="35"/>
      <x v="116"/>
    </i>
    <i r="1">
      <x v="385"/>
    </i>
    <i r="1">
      <x v="563"/>
    </i>
    <i r="1">
      <x v="647"/>
    </i>
    <i t="default">
      <x v="35"/>
    </i>
    <i>
      <x v="36"/>
      <x v="188"/>
    </i>
    <i r="1">
      <x v="563"/>
    </i>
    <i r="1">
      <x v="648"/>
    </i>
    <i r="1">
      <x v="873"/>
    </i>
    <i r="1">
      <x v="899"/>
    </i>
    <i t="default">
      <x v="36"/>
    </i>
    <i>
      <x v="37"/>
      <x v="256"/>
    </i>
    <i r="1">
      <x v="258"/>
    </i>
    <i r="1">
      <x v="527"/>
    </i>
    <i r="1">
      <x v="572"/>
    </i>
    <i r="1">
      <x v="679"/>
    </i>
    <i r="1">
      <x v="835"/>
    </i>
    <i r="1">
      <x v="906"/>
    </i>
    <i t="default">
      <x v="37"/>
    </i>
    <i>
      <x v="38"/>
      <x v="80"/>
    </i>
    <i r="1">
      <x v="258"/>
    </i>
    <i r="1">
      <x v="350"/>
    </i>
    <i r="1">
      <x v="621"/>
    </i>
    <i r="1">
      <x v="679"/>
    </i>
    <i t="default">
      <x v="38"/>
    </i>
  </rowItems>
  <colItems count="1">
    <i/>
  </colItems>
  <pageFields count="1">
    <pageField fld="1" item="0" hier="-1"/>
  </pageFields>
  <formats count="15">
    <format dxfId="0">
      <pivotArea outline="0" fieldPosition="0">
        <references count="1">
          <reference field="1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1" count="1">
            <x v="2"/>
          </reference>
        </references>
      </pivotArea>
    </format>
    <format dxfId="2">
      <pivotArea outline="0" fieldPosition="0">
        <references count="1">
          <reference field="1" count="2" selected="0">
            <x v="11"/>
            <x v="12"/>
          </reference>
        </references>
      </pivotArea>
    </format>
    <format dxfId="3">
      <pivotArea dataOnly="0" labelOnly="1" outline="0" fieldPosition="0">
        <references count="1">
          <reference field="1" count="2">
            <x v="11"/>
            <x v="12"/>
          </reference>
        </references>
      </pivotArea>
    </format>
    <format dxfId="4">
      <pivotArea outline="0" fieldPosition="0">
        <references count="1">
          <reference field="1" count="1" selected="0">
            <x v="17"/>
          </reference>
        </references>
      </pivotArea>
    </format>
    <format dxfId="5">
      <pivotArea dataOnly="0" labelOnly="1" outline="0" fieldPosition="0">
        <references count="1">
          <reference field="1" count="1">
            <x v="17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0" type="button" dataOnly="0" labelOnly="1" outline="0" axis="axisRow" fieldPosition="0"/>
    </format>
    <format dxfId="10">
      <pivotArea type="topRight" dataOnly="0" labelOnly="1" outline="0" fieldPosition="0"/>
    </format>
    <format dxfId="11">
      <pivotArea field="1" type="button" dataOnly="0" labelOnly="1" outline="0" axis="axisPage" fieldPosition="0"/>
    </format>
    <format dxfId="12">
      <pivotArea dataOnly="0" labelOnly="1" outline="0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72" dT="2026-02-25T15:38:43.41" personId="{B8A460F2-BD0A-4887-82E6-BB6EDBB00DF7}" id="{65D7614E-7147-43DD-9C17-FD6280188D0C}">
    <text>Found a list of interns (from an interview list- not sure it's fully correct) but can't locate any final report/final presentation doc for team breakdown</text>
  </threadedComment>
  <threadedComment ref="E1472" dT="2026-02-25T15:38:57.26" personId="{B8A460F2-BD0A-4887-82E6-BB6EDBB00DF7}" id="{6909FFCA-B004-40C3-9007-F82A55CFC3CC}">
    <text>Projects were: 9bBeasley Social Impact Venture Fund
TEDCSustainable Tulsa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4" dT="2026-02-25T15:38:43.41" personId="{B8A460F2-BD0A-4887-82E6-BB6EDBB00DF7}" id="{CE0193AA-204A-45DC-909D-0E73DE74F6BD}">
    <text>Found a list of interns (from an interview list- not sure it's fully correct) but can't locate any final report/final presentation doc for team breakdown</text>
  </threadedComment>
  <threadedComment ref="E24" dT="2026-02-25T15:38:57.26" personId="{B8A460F2-BD0A-4887-82E6-BB6EDBB00DF7}" id="{ED5D0613-2F03-4309-9BB3-2B89B5A9227C}">
    <text>Projects were: 9bBeasley Social Impact Venture Fund
TEDCSustainable Tulsa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CE73-9400-4DE7-927E-320FE32EEB99}">
  <dimension ref="A1:B132"/>
  <sheetViews>
    <sheetView workbookViewId="0">
      <selection activeCell="K9" sqref="K9"/>
    </sheetView>
  </sheetViews>
  <sheetFormatPr defaultRowHeight="15"/>
  <cols>
    <col min="1" max="1" width="23.28515625" customWidth="1"/>
    <col min="2" max="2" width="23.28515625" bestFit="1" customWidth="1"/>
    <col min="3" max="3" width="11.5703125" bestFit="1" customWidth="1"/>
    <col min="4" max="4" width="9.140625" bestFit="1" customWidth="1"/>
    <col min="5" max="5" width="11.5703125" bestFit="1" customWidth="1"/>
    <col min="6" max="6" width="9.140625" bestFit="1" customWidth="1"/>
    <col min="7" max="7" width="11.5703125" bestFit="1" customWidth="1"/>
    <col min="8" max="8" width="9.140625" bestFit="1" customWidth="1"/>
    <col min="9" max="9" width="11.5703125" bestFit="1" customWidth="1"/>
    <col min="10" max="10" width="9.140625" bestFit="1" customWidth="1"/>
    <col min="11" max="11" width="11.5703125" bestFit="1" customWidth="1"/>
    <col min="12" max="12" width="9.140625" bestFit="1" customWidth="1"/>
    <col min="13" max="13" width="11.5703125" bestFit="1" customWidth="1"/>
    <col min="14" max="14" width="9.140625" bestFit="1" customWidth="1"/>
    <col min="15" max="15" width="11.5703125" bestFit="1" customWidth="1"/>
    <col min="16" max="16" width="9.140625" bestFit="1" customWidth="1"/>
    <col min="18" max="18" width="11.5703125" bestFit="1" customWidth="1"/>
    <col min="20" max="20" width="11.5703125" bestFit="1" customWidth="1"/>
    <col min="21" max="21" width="11.42578125" bestFit="1" customWidth="1"/>
    <col min="22" max="22" width="11.5703125" bestFit="1" customWidth="1"/>
    <col min="24" max="24" width="11.5703125" bestFit="1" customWidth="1"/>
    <col min="26" max="26" width="11.5703125" bestFit="1" customWidth="1"/>
    <col min="28" max="28" width="11.5703125" bestFit="1" customWidth="1"/>
    <col min="30" max="30" width="11.5703125" bestFit="1" customWidth="1"/>
    <col min="32" max="32" width="11.5703125" bestFit="1" customWidth="1"/>
    <col min="34" max="34" width="11.5703125" bestFit="1" customWidth="1"/>
    <col min="36" max="36" width="11.5703125" bestFit="1" customWidth="1"/>
    <col min="38" max="38" width="11.5703125" bestFit="1" customWidth="1"/>
    <col min="40" max="40" width="11.5703125" bestFit="1" customWidth="1"/>
    <col min="41" max="41" width="11.42578125" bestFit="1" customWidth="1"/>
  </cols>
  <sheetData>
    <row r="1" spans="1:2">
      <c r="A1" t="s">
        <v>0</v>
      </c>
      <c r="B1">
        <f>COUNTA(_xlfn.UNIQUE('complete 06-26'!C2:C10106))</f>
        <v>1162</v>
      </c>
    </row>
    <row r="2" spans="1:2">
      <c r="A2" t="s">
        <v>1</v>
      </c>
      <c r="B2" cm="1">
        <f t="array" ref="B2">COUNTA(_xlfn.UNIQUE(_xlfn._xlws.FILTER('complete 06-26'!C$2:C$10106,'complete 06-26'!D$2:D$10106="Intern")))</f>
        <v>989</v>
      </c>
    </row>
    <row r="3" spans="1:2">
      <c r="A3" t="s">
        <v>2</v>
      </c>
      <c r="B3" cm="1">
        <f t="array" ref="B3">COUNTA(_xlfn.UNIQUE(_xlfn._xlws.FILTER('complete 06-26'!C2:C10106,'complete 06-26'!D2:D10106="Team Lead")))</f>
        <v>250</v>
      </c>
    </row>
    <row r="4" spans="1:2">
      <c r="A4" t="s">
        <v>3</v>
      </c>
      <c r="B4" cm="1">
        <f t="array" ref="B4">COUNTA(_xlfn.UNIQUE(_xlfn._xlws.FILTER('complete 06-26'!C2:C10106,'complete 06-26'!B2:B10106="Staff")))</f>
        <v>57</v>
      </c>
    </row>
    <row r="5" spans="1:2">
      <c r="A5" t="s">
        <v>4</v>
      </c>
      <c r="B5" cm="1">
        <f t="array" ref="B5">COUNTA(_xlfn.UNIQUE(_xlfn._xlws.FILTER('complete 06-26'!C$2:C$10106,'complete 06-26'!F$2:F$10106="Norman")))</f>
        <v>841</v>
      </c>
    </row>
    <row r="6" spans="1:2">
      <c r="A6" t="s">
        <v>5</v>
      </c>
      <c r="B6" cm="1">
        <f t="array" ref="B6">COUNTA(_xlfn.UNIQUE(_xlfn._xlws.FILTER('complete 06-26'!C$2:C$10106,'complete 06-26'!F$2:F$10106="OKC")))</f>
        <v>87</v>
      </c>
    </row>
    <row r="7" spans="1:2">
      <c r="A7" t="s">
        <v>6</v>
      </c>
      <c r="B7" cm="1">
        <f t="array" ref="B7">COUNTA(_xlfn.UNIQUE(_xlfn._xlws.FILTER('complete 06-26'!C$2:C$10106,'complete 06-26'!F$2:F$10106="Tulsa")))</f>
        <v>255</v>
      </c>
    </row>
    <row r="8" spans="1:2">
      <c r="A8" t="s">
        <v>7</v>
      </c>
      <c r="B8" cm="1">
        <f t="array" ref="B8">COUNTA(_xlfn.UNIQUE(_xlfn._xlws.FILTER('complete 06-26'!C$2:C$10106,'complete 06-26'!B$2:B$10106="Impact Academy")))</f>
        <v>82</v>
      </c>
    </row>
    <row r="9" spans="1:2">
      <c r="A9" t="s">
        <v>8</v>
      </c>
      <c r="B9" cm="1">
        <f t="array" ref="B9">COUNTA(_xlfn.UNIQUE(_xlfn._xlws.FILTER('complete 06-26'!C$2:C$10106,'complete 06-26'!D$2:D$10106="Participant")))</f>
        <v>148</v>
      </c>
    </row>
    <row r="10" spans="1:2">
      <c r="A10" t="s">
        <v>9</v>
      </c>
      <c r="B10" t="s">
        <v>10</v>
      </c>
    </row>
    <row r="12" spans="1:2">
      <c r="A12" t="s">
        <v>11</v>
      </c>
      <c r="B12" t="s">
        <v>12</v>
      </c>
    </row>
    <row r="13" spans="1:2">
      <c r="A13" t="s">
        <v>13</v>
      </c>
      <c r="B13" t="s">
        <v>14</v>
      </c>
    </row>
    <row r="14" spans="1:2">
      <c r="B14" t="s">
        <v>15</v>
      </c>
    </row>
    <row r="15" spans="1:2">
      <c r="B15" t="s">
        <v>16</v>
      </c>
    </row>
    <row r="16" spans="1:2">
      <c r="B16" t="s">
        <v>17</v>
      </c>
    </row>
    <row r="17" spans="1:2">
      <c r="B17" t="s">
        <v>18</v>
      </c>
    </row>
    <row r="18" spans="1:2">
      <c r="B18" t="s">
        <v>19</v>
      </c>
    </row>
    <row r="19" spans="1:2">
      <c r="A19" t="s">
        <v>20</v>
      </c>
    </row>
    <row r="20" spans="1:2">
      <c r="A20" t="s">
        <v>21</v>
      </c>
      <c r="B20" t="s">
        <v>22</v>
      </c>
    </row>
    <row r="21" spans="1:2">
      <c r="B21" t="s">
        <v>23</v>
      </c>
    </row>
    <row r="22" spans="1:2">
      <c r="B22" t="s">
        <v>24</v>
      </c>
    </row>
    <row r="23" spans="1:2">
      <c r="B23" t="s">
        <v>25</v>
      </c>
    </row>
    <row r="24" spans="1:2">
      <c r="B24" t="s">
        <v>26</v>
      </c>
    </row>
    <row r="25" spans="1:2">
      <c r="A25" t="s">
        <v>27</v>
      </c>
    </row>
    <row r="26" spans="1:2">
      <c r="A26" t="s">
        <v>28</v>
      </c>
      <c r="B26" t="s">
        <v>29</v>
      </c>
    </row>
    <row r="27" spans="1:2">
      <c r="B27" t="s">
        <v>30</v>
      </c>
    </row>
    <row r="28" spans="1:2">
      <c r="B28" t="s">
        <v>31</v>
      </c>
    </row>
    <row r="29" spans="1:2">
      <c r="B29" t="s">
        <v>32</v>
      </c>
    </row>
    <row r="30" spans="1:2">
      <c r="B30" t="s">
        <v>33</v>
      </c>
    </row>
    <row r="31" spans="1:2">
      <c r="B31" t="s">
        <v>34</v>
      </c>
    </row>
    <row r="32" spans="1:2">
      <c r="A32" t="s">
        <v>35</v>
      </c>
    </row>
    <row r="33" spans="1:2">
      <c r="A33" t="s">
        <v>36</v>
      </c>
      <c r="B33" t="s">
        <v>15</v>
      </c>
    </row>
    <row r="34" spans="1:2">
      <c r="B34" t="s">
        <v>37</v>
      </c>
    </row>
    <row r="35" spans="1:2">
      <c r="B35" t="s">
        <v>38</v>
      </c>
    </row>
    <row r="36" spans="1:2">
      <c r="B36" t="s">
        <v>39</v>
      </c>
    </row>
    <row r="37" spans="1:2">
      <c r="B37" t="s">
        <v>40</v>
      </c>
    </row>
    <row r="38" spans="1:2">
      <c r="A38" t="s">
        <v>41</v>
      </c>
    </row>
    <row r="39" spans="1:2">
      <c r="A39" t="s">
        <v>42</v>
      </c>
      <c r="B39" t="s">
        <v>43</v>
      </c>
    </row>
    <row r="40" spans="1:2">
      <c r="B40" t="s">
        <v>44</v>
      </c>
    </row>
    <row r="41" spans="1:2">
      <c r="B41" t="s">
        <v>45</v>
      </c>
    </row>
    <row r="42" spans="1:2">
      <c r="B42" t="s">
        <v>46</v>
      </c>
    </row>
    <row r="43" spans="1:2">
      <c r="B43" t="s">
        <v>47</v>
      </c>
    </row>
    <row r="44" spans="1:2">
      <c r="A44" t="s">
        <v>48</v>
      </c>
    </row>
    <row r="45" spans="1:2">
      <c r="A45" t="s">
        <v>49</v>
      </c>
      <c r="B45" t="s">
        <v>50</v>
      </c>
    </row>
    <row r="46" spans="1:2">
      <c r="B46" t="s">
        <v>46</v>
      </c>
    </row>
    <row r="47" spans="1:2">
      <c r="B47" t="s">
        <v>51</v>
      </c>
    </row>
    <row r="48" spans="1:2">
      <c r="B48" t="s">
        <v>52</v>
      </c>
    </row>
    <row r="49" spans="1:2">
      <c r="B49" t="s">
        <v>53</v>
      </c>
    </row>
    <row r="50" spans="1:2">
      <c r="A50" t="s">
        <v>54</v>
      </c>
    </row>
    <row r="51" spans="1:2">
      <c r="A51" t="s">
        <v>55</v>
      </c>
      <c r="B51" t="s">
        <v>56</v>
      </c>
    </row>
    <row r="52" spans="1:2">
      <c r="B52" t="s">
        <v>57</v>
      </c>
    </row>
    <row r="53" spans="1:2">
      <c r="B53" t="s">
        <v>58</v>
      </c>
    </row>
    <row r="54" spans="1:2">
      <c r="B54" t="s">
        <v>59</v>
      </c>
    </row>
    <row r="55" spans="1:2">
      <c r="B55" t="s">
        <v>60</v>
      </c>
    </row>
    <row r="56" spans="1:2">
      <c r="B56" t="s">
        <v>61</v>
      </c>
    </row>
    <row r="57" spans="1:2">
      <c r="A57" t="s">
        <v>62</v>
      </c>
    </row>
    <row r="58" spans="1:2">
      <c r="A58" t="s">
        <v>63</v>
      </c>
      <c r="B58" t="s">
        <v>64</v>
      </c>
    </row>
    <row r="59" spans="1:2">
      <c r="B59" t="s">
        <v>65</v>
      </c>
    </row>
    <row r="60" spans="1:2">
      <c r="B60" t="s">
        <v>59</v>
      </c>
    </row>
    <row r="61" spans="1:2">
      <c r="B61" t="s">
        <v>46</v>
      </c>
    </row>
    <row r="62" spans="1:2">
      <c r="B62" t="s">
        <v>66</v>
      </c>
    </row>
    <row r="63" spans="1:2">
      <c r="A63" t="s">
        <v>67</v>
      </c>
    </row>
    <row r="64" spans="1:2">
      <c r="A64" t="s">
        <v>68</v>
      </c>
      <c r="B64" t="s">
        <v>69</v>
      </c>
    </row>
    <row r="65" spans="1:2">
      <c r="B65" t="s">
        <v>70</v>
      </c>
    </row>
    <row r="66" spans="1:2">
      <c r="B66" t="s">
        <v>71</v>
      </c>
    </row>
    <row r="67" spans="1:2">
      <c r="B67" t="s">
        <v>72</v>
      </c>
    </row>
    <row r="68" spans="1:2">
      <c r="B68" t="s">
        <v>73</v>
      </c>
    </row>
    <row r="69" spans="1:2">
      <c r="B69" t="s">
        <v>74</v>
      </c>
    </row>
    <row r="70" spans="1:2">
      <c r="A70" t="s">
        <v>75</v>
      </c>
    </row>
    <row r="71" spans="1:2">
      <c r="A71" t="s">
        <v>76</v>
      </c>
      <c r="B71" t="s">
        <v>57</v>
      </c>
    </row>
    <row r="72" spans="1:2">
      <c r="B72" t="s">
        <v>77</v>
      </c>
    </row>
    <row r="73" spans="1:2">
      <c r="B73" t="s">
        <v>72</v>
      </c>
    </row>
    <row r="74" spans="1:2">
      <c r="B74" t="s">
        <v>78</v>
      </c>
    </row>
    <row r="75" spans="1:2">
      <c r="B75" t="s">
        <v>79</v>
      </c>
    </row>
    <row r="76" spans="1:2">
      <c r="A76" t="s">
        <v>80</v>
      </c>
    </row>
    <row r="77" spans="1:2">
      <c r="A77" t="s">
        <v>81</v>
      </c>
      <c r="B77" t="s">
        <v>82</v>
      </c>
    </row>
    <row r="78" spans="1:2">
      <c r="B78" t="s">
        <v>83</v>
      </c>
    </row>
    <row r="79" spans="1:2">
      <c r="B79" t="s">
        <v>84</v>
      </c>
    </row>
    <row r="80" spans="1:2">
      <c r="B80" t="s">
        <v>85</v>
      </c>
    </row>
    <row r="81" spans="1:2">
      <c r="B81" t="s">
        <v>86</v>
      </c>
    </row>
    <row r="82" spans="1:2">
      <c r="B82" t="s">
        <v>87</v>
      </c>
    </row>
    <row r="83" spans="1:2">
      <c r="A83" t="s">
        <v>88</v>
      </c>
    </row>
    <row r="84" spans="1:2">
      <c r="A84" t="s">
        <v>89</v>
      </c>
      <c r="B84" t="s">
        <v>70</v>
      </c>
    </row>
    <row r="85" spans="1:2">
      <c r="B85" t="s">
        <v>90</v>
      </c>
    </row>
    <row r="86" spans="1:2">
      <c r="B86" t="s">
        <v>91</v>
      </c>
    </row>
    <row r="87" spans="1:2">
      <c r="B87" t="s">
        <v>92</v>
      </c>
    </row>
    <row r="88" spans="1:2">
      <c r="B88" t="s">
        <v>93</v>
      </c>
    </row>
    <row r="89" spans="1:2">
      <c r="A89" t="s">
        <v>94</v>
      </c>
    </row>
    <row r="90" spans="1:2">
      <c r="A90" t="s">
        <v>95</v>
      </c>
      <c r="B90" t="s">
        <v>96</v>
      </c>
    </row>
    <row r="91" spans="1:2">
      <c r="B91" t="s">
        <v>97</v>
      </c>
    </row>
    <row r="92" spans="1:2">
      <c r="B92" t="s">
        <v>98</v>
      </c>
    </row>
    <row r="93" spans="1:2">
      <c r="B93" t="s">
        <v>99</v>
      </c>
    </row>
    <row r="94" spans="1:2">
      <c r="B94" t="s">
        <v>100</v>
      </c>
    </row>
    <row r="95" spans="1:2">
      <c r="A95" t="s">
        <v>101</v>
      </c>
    </row>
    <row r="96" spans="1:2">
      <c r="A96" t="s">
        <v>102</v>
      </c>
      <c r="B96" t="s">
        <v>103</v>
      </c>
    </row>
    <row r="97" spans="1:2">
      <c r="B97" t="s">
        <v>84</v>
      </c>
    </row>
    <row r="98" spans="1:2">
      <c r="B98" t="s">
        <v>99</v>
      </c>
    </row>
    <row r="99" spans="1:2">
      <c r="B99" t="s">
        <v>104</v>
      </c>
    </row>
    <row r="100" spans="1:2">
      <c r="A100" t="s">
        <v>105</v>
      </c>
    </row>
    <row r="101" spans="1:2">
      <c r="A101" t="s">
        <v>106</v>
      </c>
      <c r="B101" t="s">
        <v>107</v>
      </c>
    </row>
    <row r="102" spans="1:2">
      <c r="B102" t="s">
        <v>108</v>
      </c>
    </row>
    <row r="103" spans="1:2">
      <c r="B103" t="s">
        <v>109</v>
      </c>
    </row>
    <row r="104" spans="1:2">
      <c r="B104" t="s">
        <v>110</v>
      </c>
    </row>
    <row r="105" spans="1:2">
      <c r="B105" t="s">
        <v>111</v>
      </c>
    </row>
    <row r="106" spans="1:2">
      <c r="B106" t="s">
        <v>112</v>
      </c>
    </row>
    <row r="107" spans="1:2">
      <c r="A107" t="s">
        <v>113</v>
      </c>
    </row>
    <row r="108" spans="1:2">
      <c r="A108" t="s">
        <v>114</v>
      </c>
      <c r="B108" t="s">
        <v>115</v>
      </c>
    </row>
    <row r="109" spans="1:2">
      <c r="B109" t="s">
        <v>116</v>
      </c>
    </row>
    <row r="110" spans="1:2">
      <c r="B110" t="s">
        <v>117</v>
      </c>
    </row>
    <row r="111" spans="1:2">
      <c r="B111" t="s">
        <v>118</v>
      </c>
    </row>
    <row r="112" spans="1:2">
      <c r="A112" t="s">
        <v>119</v>
      </c>
    </row>
    <row r="113" spans="1:2">
      <c r="A113" t="s">
        <v>120</v>
      </c>
      <c r="B113" t="s">
        <v>109</v>
      </c>
    </row>
    <row r="114" spans="1:2">
      <c r="B114" t="s">
        <v>117</v>
      </c>
    </row>
    <row r="115" spans="1:2">
      <c r="B115" t="s">
        <v>121</v>
      </c>
    </row>
    <row r="116" spans="1:2">
      <c r="B116" t="s">
        <v>122</v>
      </c>
    </row>
    <row r="117" spans="1:2">
      <c r="B117" t="s">
        <v>123</v>
      </c>
    </row>
    <row r="118" spans="1:2">
      <c r="A118" t="s">
        <v>124</v>
      </c>
    </row>
    <row r="119" spans="1:2">
      <c r="A119" t="s">
        <v>125</v>
      </c>
      <c r="B119" t="s">
        <v>126</v>
      </c>
    </row>
    <row r="120" spans="1:2">
      <c r="B120" t="s">
        <v>127</v>
      </c>
    </row>
    <row r="121" spans="1:2">
      <c r="B121" t="s">
        <v>128</v>
      </c>
    </row>
    <row r="122" spans="1:2">
      <c r="B122" t="s">
        <v>129</v>
      </c>
    </row>
    <row r="123" spans="1:2">
      <c r="B123" t="s">
        <v>112</v>
      </c>
    </row>
    <row r="124" spans="1:2">
      <c r="B124" t="s">
        <v>130</v>
      </c>
    </row>
    <row r="125" spans="1:2">
      <c r="B125" t="s">
        <v>131</v>
      </c>
    </row>
    <row r="126" spans="1:2">
      <c r="A126" t="s">
        <v>132</v>
      </c>
    </row>
    <row r="127" spans="1:2">
      <c r="A127" t="s">
        <v>133</v>
      </c>
      <c r="B127" t="s">
        <v>134</v>
      </c>
    </row>
    <row r="128" spans="1:2">
      <c r="B128" t="s">
        <v>127</v>
      </c>
    </row>
    <row r="129" spans="1:2">
      <c r="B129" t="s">
        <v>135</v>
      </c>
    </row>
    <row r="130" spans="1:2">
      <c r="B130" t="s">
        <v>136</v>
      </c>
    </row>
    <row r="131" spans="1:2">
      <c r="B131" t="s">
        <v>112</v>
      </c>
    </row>
    <row r="132" spans="1:2">
      <c r="A132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AFB2-2746-41C0-B77F-28465ECDAE28}">
  <dimension ref="A1:G1731"/>
  <sheetViews>
    <sheetView tabSelected="1" topLeftCell="A29" workbookViewId="0">
      <selection activeCell="A44" sqref="A44:XFD44"/>
    </sheetView>
  </sheetViews>
  <sheetFormatPr defaultColWidth="8.85546875" defaultRowHeight="15"/>
  <cols>
    <col min="1" max="1" width="11.28515625" bestFit="1" customWidth="1"/>
    <col min="2" max="2" width="10.7109375" customWidth="1"/>
    <col min="3" max="3" width="20.85546875" customWidth="1"/>
    <col min="4" max="4" width="16.140625" customWidth="1"/>
    <col min="5" max="5" width="13.28515625" customWidth="1"/>
    <col min="8" max="8" width="13.85546875" bestFit="1" customWidth="1"/>
    <col min="9" max="9" width="31.85546875" bestFit="1" customWidth="1"/>
    <col min="10" max="10" width="10.42578125" bestFit="1" customWidth="1"/>
    <col min="11" max="11" width="9.140625" bestFit="1" customWidth="1"/>
    <col min="13" max="13" width="22.28515625" bestFit="1" customWidth="1"/>
    <col min="14" max="14" width="10.42578125" bestFit="1" customWidth="1"/>
    <col min="15" max="15" width="9.140625" bestFit="1" customWidth="1"/>
    <col min="16" max="16" width="11.42578125" bestFit="1" customWidth="1"/>
    <col min="17" max="17" width="9.140625" bestFit="1" customWidth="1"/>
    <col min="18" max="18" width="11.42578125" bestFit="1" customWidth="1"/>
    <col min="19" max="19" width="9.140625" bestFit="1" customWidth="1"/>
    <col min="20" max="20" width="11.42578125" bestFit="1" customWidth="1"/>
    <col min="21" max="21" width="9.140625" bestFit="1" customWidth="1"/>
    <col min="22" max="22" width="11.42578125" bestFit="1" customWidth="1"/>
    <col min="23" max="23" width="9.140625" bestFit="1" customWidth="1"/>
    <col min="24" max="24" width="11.42578125" bestFit="1" customWidth="1"/>
    <col min="25" max="25" width="9.140625" bestFit="1" customWidth="1"/>
    <col min="26" max="26" width="11.42578125" bestFit="1" customWidth="1"/>
    <col min="27" max="27" width="9.140625" bestFit="1" customWidth="1"/>
    <col min="28" max="28" width="11.42578125" bestFit="1" customWidth="1"/>
    <col min="29" max="29" width="9.140625" bestFit="1" customWidth="1"/>
    <col min="30" max="30" width="11.42578125" bestFit="1" customWidth="1"/>
    <col min="31" max="31" width="9.140625" bestFit="1" customWidth="1"/>
    <col min="32" max="32" width="11.42578125" bestFit="1" customWidth="1"/>
    <col min="33" max="33" width="9.140625" bestFit="1" customWidth="1"/>
    <col min="34" max="34" width="11.42578125" bestFit="1" customWidth="1"/>
    <col min="35" max="35" width="9.140625" bestFit="1" customWidth="1"/>
    <col min="36" max="36" width="11.42578125" bestFit="1" customWidth="1"/>
    <col min="37" max="37" width="9.140625" bestFit="1" customWidth="1"/>
    <col min="38" max="38" width="11.42578125" bestFit="1" customWidth="1"/>
    <col min="39" max="39" width="9.140625" bestFit="1" customWidth="1"/>
    <col min="40" max="40" width="11.42578125" bestFit="1" customWidth="1"/>
    <col min="41" max="41" width="9.140625" bestFit="1" customWidth="1"/>
    <col min="42" max="42" width="11.42578125" bestFit="1" customWidth="1"/>
    <col min="43" max="43" width="9.140625" bestFit="1" customWidth="1"/>
    <col min="44" max="44" width="11.42578125" bestFit="1" customWidth="1"/>
    <col min="45" max="45" width="9.140625" bestFit="1" customWidth="1"/>
    <col min="46" max="46" width="11.42578125" bestFit="1" customWidth="1"/>
    <col min="47" max="47" width="9.140625" bestFit="1" customWidth="1"/>
    <col min="48" max="48" width="11.42578125" bestFit="1" customWidth="1"/>
    <col min="49" max="49" width="9.140625" bestFit="1" customWidth="1"/>
    <col min="50" max="50" width="11.42578125" bestFit="1" customWidth="1"/>
    <col min="51" max="51" width="9.140625" bestFit="1" customWidth="1"/>
    <col min="52" max="53" width="11.42578125" bestFit="1" customWidth="1"/>
    <col min="54" max="54" width="13.42578125" bestFit="1" customWidth="1"/>
    <col min="55" max="57" width="7.42578125" bestFit="1" customWidth="1"/>
    <col min="58" max="58" width="16.42578125" bestFit="1" customWidth="1"/>
    <col min="59" max="59" width="11" bestFit="1" customWidth="1"/>
    <col min="60" max="63" width="7.42578125" bestFit="1" customWidth="1"/>
    <col min="64" max="64" width="14.140625" bestFit="1" customWidth="1"/>
    <col min="65" max="65" width="13.42578125" bestFit="1" customWidth="1"/>
    <col min="66" max="68" width="7.42578125" bestFit="1" customWidth="1"/>
    <col min="69" max="69" width="16.42578125" bestFit="1" customWidth="1"/>
    <col min="70" max="70" width="11" bestFit="1" customWidth="1"/>
    <col min="71" max="73" width="7.42578125" bestFit="1" customWidth="1"/>
    <col min="74" max="74" width="5.85546875" bestFit="1" customWidth="1"/>
    <col min="75" max="75" width="14.140625" bestFit="1" customWidth="1"/>
    <col min="76" max="76" width="13.42578125" bestFit="1" customWidth="1"/>
    <col min="77" max="78" width="7.42578125" bestFit="1" customWidth="1"/>
    <col min="79" max="79" width="5.85546875" bestFit="1" customWidth="1"/>
    <col min="80" max="80" width="16.42578125" bestFit="1" customWidth="1"/>
    <col min="81" max="81" width="11" bestFit="1" customWidth="1"/>
    <col min="82" max="82" width="5.28515625" bestFit="1" customWidth="1"/>
    <col min="83" max="85" width="7.42578125" bestFit="1" customWidth="1"/>
    <col min="86" max="86" width="5.85546875" bestFit="1" customWidth="1"/>
    <col min="87" max="87" width="14.140625" bestFit="1" customWidth="1"/>
    <col min="88" max="88" width="13.42578125" bestFit="1" customWidth="1"/>
    <col min="89" max="89" width="5.28515625" bestFit="1" customWidth="1"/>
    <col min="90" max="92" width="7.42578125" bestFit="1" customWidth="1"/>
    <col min="93" max="93" width="5.85546875" bestFit="1" customWidth="1"/>
    <col min="94" max="94" width="16.42578125" bestFit="1" customWidth="1"/>
    <col min="95" max="95" width="11" bestFit="1" customWidth="1"/>
    <col min="96" max="96" width="5.28515625" bestFit="1" customWidth="1"/>
    <col min="97" max="101" width="7.42578125" bestFit="1" customWidth="1"/>
    <col min="102" max="102" width="5.85546875" bestFit="1" customWidth="1"/>
    <col min="103" max="103" width="14.140625" bestFit="1" customWidth="1"/>
    <col min="104" max="104" width="13.42578125" bestFit="1" customWidth="1"/>
    <col min="105" max="105" width="5.28515625" bestFit="1" customWidth="1"/>
    <col min="106" max="109" width="7.42578125" bestFit="1" customWidth="1"/>
    <col min="110" max="110" width="5.85546875" bestFit="1" customWidth="1"/>
    <col min="111" max="111" width="16.42578125" bestFit="1" customWidth="1"/>
    <col min="112" max="112" width="11" bestFit="1" customWidth="1"/>
    <col min="113" max="113" width="5.28515625" bestFit="1" customWidth="1"/>
    <col min="114" max="117" width="7.42578125" bestFit="1" customWidth="1"/>
    <col min="118" max="118" width="5.85546875" bestFit="1" customWidth="1"/>
    <col min="119" max="119" width="14.140625" bestFit="1" customWidth="1"/>
    <col min="120" max="120" width="13.42578125" bestFit="1" customWidth="1"/>
    <col min="121" max="121" width="5.28515625" bestFit="1" customWidth="1"/>
    <col min="122" max="125" width="7.42578125" bestFit="1" customWidth="1"/>
    <col min="126" max="126" width="5.85546875" bestFit="1" customWidth="1"/>
    <col min="127" max="127" width="16.42578125" bestFit="1" customWidth="1"/>
    <col min="128" max="128" width="19.7109375" bestFit="1" customWidth="1"/>
    <col min="129" max="129" width="4.7109375" bestFit="1" customWidth="1"/>
    <col min="130" max="130" width="16.7109375" bestFit="1" customWidth="1"/>
    <col min="131" max="131" width="23" bestFit="1" customWidth="1"/>
    <col min="132" max="132" width="5.28515625" bestFit="1" customWidth="1"/>
    <col min="133" max="133" width="23.140625" bestFit="1" customWidth="1"/>
    <col min="134" max="134" width="5.85546875" bestFit="1" customWidth="1"/>
    <col min="135" max="135" width="14.140625" bestFit="1" customWidth="1"/>
    <col min="136" max="136" width="19.7109375" bestFit="1" customWidth="1"/>
    <col min="137" max="137" width="3.7109375" bestFit="1" customWidth="1"/>
    <col min="138" max="138" width="4.7109375" bestFit="1" customWidth="1"/>
    <col min="139" max="139" width="15.7109375" bestFit="1" customWidth="1"/>
    <col min="140" max="140" width="16.7109375" bestFit="1" customWidth="1"/>
    <col min="141" max="141" width="23" bestFit="1" customWidth="1"/>
    <col min="142" max="142" width="5.28515625" bestFit="1" customWidth="1"/>
    <col min="143" max="143" width="5.85546875" bestFit="1" customWidth="1"/>
    <col min="144" max="144" width="16.42578125" bestFit="1" customWidth="1"/>
    <col min="145" max="145" width="19.7109375" bestFit="1" customWidth="1"/>
    <col min="146" max="146" width="3.7109375" bestFit="1" customWidth="1"/>
    <col min="147" max="147" width="4.7109375" bestFit="1" customWidth="1"/>
    <col min="148" max="148" width="5.140625" bestFit="1" customWidth="1"/>
    <col min="149" max="149" width="15.7109375" bestFit="1" customWidth="1"/>
    <col min="150" max="150" width="16.7109375" bestFit="1" customWidth="1"/>
    <col min="151" max="151" width="23" bestFit="1" customWidth="1"/>
    <col min="152" max="152" width="5.28515625" bestFit="1" customWidth="1"/>
    <col min="153" max="153" width="5.85546875" bestFit="1" customWidth="1"/>
    <col min="154" max="154" width="14.140625" bestFit="1" customWidth="1"/>
    <col min="155" max="155" width="19.7109375" bestFit="1" customWidth="1"/>
    <col min="156" max="156" width="3.7109375" bestFit="1" customWidth="1"/>
    <col min="157" max="157" width="4.7109375" bestFit="1" customWidth="1"/>
    <col min="158" max="158" width="15.7109375" bestFit="1" customWidth="1"/>
    <col min="159" max="159" width="16.7109375" bestFit="1" customWidth="1"/>
    <col min="160" max="160" width="23" bestFit="1" customWidth="1"/>
    <col min="161" max="161" width="5.28515625" bestFit="1" customWidth="1"/>
    <col min="162" max="162" width="5.85546875" bestFit="1" customWidth="1"/>
    <col min="163" max="163" width="16.42578125" bestFit="1" customWidth="1"/>
    <col min="164" max="164" width="19.7109375" bestFit="1" customWidth="1"/>
    <col min="165" max="165" width="4.7109375" bestFit="1" customWidth="1"/>
    <col min="166" max="166" width="11.140625" bestFit="1" customWidth="1"/>
    <col min="167" max="167" width="5.140625" bestFit="1" customWidth="1"/>
    <col min="168" max="168" width="15.7109375" bestFit="1" customWidth="1"/>
    <col min="169" max="169" width="16.7109375" bestFit="1" customWidth="1"/>
    <col min="170" max="170" width="23" bestFit="1" customWidth="1"/>
    <col min="171" max="171" width="5.28515625" bestFit="1" customWidth="1"/>
    <col min="172" max="172" width="23.140625" bestFit="1" customWidth="1"/>
    <col min="173" max="173" width="5.85546875" bestFit="1" customWidth="1"/>
    <col min="174" max="174" width="14.140625" bestFit="1" customWidth="1"/>
    <col min="175" max="175" width="19.7109375" bestFit="1" customWidth="1"/>
    <col min="176" max="176" width="4.7109375" bestFit="1" customWidth="1"/>
    <col min="177" max="177" width="11.140625" bestFit="1" customWidth="1"/>
    <col min="178" max="178" width="5.140625" bestFit="1" customWidth="1"/>
    <col min="179" max="179" width="15.7109375" bestFit="1" customWidth="1"/>
    <col min="180" max="180" width="16.7109375" bestFit="1" customWidth="1"/>
    <col min="181" max="181" width="23" bestFit="1" customWidth="1"/>
    <col min="182" max="182" width="5.28515625" bestFit="1" customWidth="1"/>
    <col min="183" max="183" width="23.140625" bestFit="1" customWidth="1"/>
    <col min="184" max="184" width="5.85546875" bestFit="1" customWidth="1"/>
    <col min="185" max="185" width="16.42578125" bestFit="1" customWidth="1"/>
    <col min="186" max="186" width="19.7109375" bestFit="1" customWidth="1"/>
    <col min="187" max="187" width="3.7109375" bestFit="1" customWidth="1"/>
    <col min="188" max="188" width="4.7109375" bestFit="1" customWidth="1"/>
    <col min="189" max="189" width="11.140625" bestFit="1" customWidth="1"/>
    <col min="190" max="190" width="5.140625" bestFit="1" customWidth="1"/>
    <col min="191" max="191" width="15.7109375" bestFit="1" customWidth="1"/>
    <col min="192" max="192" width="16.7109375" bestFit="1" customWidth="1"/>
    <col min="193" max="193" width="5.28515625" bestFit="1" customWidth="1"/>
    <col min="194" max="194" width="5.85546875" bestFit="1" customWidth="1"/>
    <col min="195" max="195" width="14.140625" bestFit="1" customWidth="1"/>
    <col min="196" max="196" width="19.7109375" bestFit="1" customWidth="1"/>
    <col min="197" max="197" width="7.42578125" bestFit="1" customWidth="1"/>
    <col min="198" max="198" width="3.7109375" bestFit="1" customWidth="1"/>
    <col min="199" max="199" width="4.7109375" bestFit="1" customWidth="1"/>
    <col min="200" max="200" width="11.140625" bestFit="1" customWidth="1"/>
    <col min="201" max="201" width="5.140625" bestFit="1" customWidth="1"/>
    <col min="202" max="202" width="15.7109375" bestFit="1" customWidth="1"/>
    <col min="203" max="203" width="16.7109375" bestFit="1" customWidth="1"/>
    <col min="204" max="204" width="5.28515625" bestFit="1" customWidth="1"/>
    <col min="205" max="205" width="5.85546875" bestFit="1" customWidth="1"/>
    <col min="206" max="206" width="16.42578125" bestFit="1" customWidth="1"/>
    <col min="207" max="207" width="19.7109375" bestFit="1" customWidth="1"/>
    <col min="208" max="208" width="4.7109375" bestFit="1" customWidth="1"/>
    <col min="209" max="209" width="11.140625" bestFit="1" customWidth="1"/>
    <col min="210" max="210" width="15.7109375" bestFit="1" customWidth="1"/>
    <col min="211" max="211" width="16.7109375" bestFit="1" customWidth="1"/>
    <col min="212" max="212" width="5.28515625" bestFit="1" customWidth="1"/>
    <col min="213" max="213" width="23.140625" bestFit="1" customWidth="1"/>
    <col min="214" max="214" width="14.140625" bestFit="1" customWidth="1"/>
    <col min="215" max="215" width="19.7109375" bestFit="1" customWidth="1"/>
    <col min="216" max="216" width="4.7109375" bestFit="1" customWidth="1"/>
    <col min="217" max="217" width="11.140625" bestFit="1" customWidth="1"/>
    <col min="218" max="218" width="15.7109375" bestFit="1" customWidth="1"/>
    <col min="219" max="219" width="16.7109375" bestFit="1" customWidth="1"/>
    <col min="220" max="220" width="5.28515625" bestFit="1" customWidth="1"/>
    <col min="221" max="221" width="23.140625" bestFit="1" customWidth="1"/>
    <col min="222" max="222" width="16.42578125" bestFit="1" customWidth="1"/>
    <col min="223" max="223" width="19.7109375" bestFit="1" customWidth="1"/>
    <col min="224" max="224" width="7.140625" bestFit="1" customWidth="1"/>
    <col min="225" max="225" width="4.7109375" bestFit="1" customWidth="1"/>
    <col min="226" max="226" width="5.140625" bestFit="1" customWidth="1"/>
    <col min="227" max="227" width="15.7109375" bestFit="1" customWidth="1"/>
    <col min="228" max="228" width="16.7109375" bestFit="1" customWidth="1"/>
    <col min="229" max="229" width="5.28515625" bestFit="1" customWidth="1"/>
    <col min="230" max="230" width="23.140625" bestFit="1" customWidth="1"/>
    <col min="231" max="231" width="14.140625" bestFit="1" customWidth="1"/>
    <col min="232" max="232" width="19.7109375" bestFit="1" customWidth="1"/>
    <col min="233" max="233" width="7.140625" bestFit="1" customWidth="1"/>
    <col min="234" max="234" width="5.140625" bestFit="1" customWidth="1"/>
    <col min="235" max="235" width="15.7109375" bestFit="1" customWidth="1"/>
    <col min="236" max="236" width="16.7109375" bestFit="1" customWidth="1"/>
    <col min="237" max="237" width="5.28515625" bestFit="1" customWidth="1"/>
    <col min="238" max="238" width="7.42578125" bestFit="1" customWidth="1"/>
    <col min="239" max="239" width="16.42578125" bestFit="1" customWidth="1"/>
    <col min="240" max="240" width="19.7109375" bestFit="1" customWidth="1"/>
    <col min="241" max="241" width="7.140625" bestFit="1" customWidth="1"/>
    <col min="242" max="242" width="4.7109375" bestFit="1" customWidth="1"/>
    <col min="243" max="243" width="5.140625" bestFit="1" customWidth="1"/>
    <col min="244" max="244" width="15.7109375" bestFit="1" customWidth="1"/>
    <col min="245" max="245" width="16.7109375" bestFit="1" customWidth="1"/>
    <col min="246" max="246" width="5.28515625" bestFit="1" customWidth="1"/>
    <col min="247" max="247" width="3.7109375" bestFit="1" customWidth="1"/>
    <col min="248" max="248" width="14.140625" bestFit="1" customWidth="1"/>
    <col min="249" max="249" width="19.7109375" bestFit="1" customWidth="1"/>
    <col min="250" max="250" width="7.140625" bestFit="1" customWidth="1"/>
    <col min="251" max="251" width="5.140625" bestFit="1" customWidth="1"/>
    <col min="252" max="252" width="15.7109375" bestFit="1" customWidth="1"/>
    <col min="253" max="253" width="16.7109375" bestFit="1" customWidth="1"/>
    <col min="254" max="254" width="5.28515625" bestFit="1" customWidth="1"/>
    <col min="255" max="255" width="16.42578125" bestFit="1" customWidth="1"/>
    <col min="256" max="256" width="19.7109375" bestFit="1" customWidth="1"/>
    <col min="257" max="257" width="7.140625" bestFit="1" customWidth="1"/>
    <col min="258" max="258" width="4.7109375" bestFit="1" customWidth="1"/>
    <col min="259" max="259" width="5.140625" bestFit="1" customWidth="1"/>
    <col min="260" max="260" width="15.7109375" bestFit="1" customWidth="1"/>
    <col min="261" max="261" width="16.7109375" bestFit="1" customWidth="1"/>
    <col min="262" max="262" width="5.28515625" bestFit="1" customWidth="1"/>
    <col min="263" max="263" width="3.7109375" bestFit="1" customWidth="1"/>
    <col min="264" max="264" width="14.140625" bestFit="1" customWidth="1"/>
    <col min="265" max="265" width="13.42578125" bestFit="1" customWidth="1"/>
    <col min="266" max="266" width="4.7109375" bestFit="1" customWidth="1"/>
    <col min="267" max="267" width="5.140625" bestFit="1" customWidth="1"/>
    <col min="268" max="268" width="15.7109375" bestFit="1" customWidth="1"/>
    <col min="269" max="269" width="16.7109375" bestFit="1" customWidth="1"/>
    <col min="270" max="270" width="23" bestFit="1" customWidth="1"/>
    <col min="271" max="271" width="5.28515625" bestFit="1" customWidth="1"/>
    <col min="272" max="272" width="3.7109375" bestFit="1" customWidth="1"/>
    <col min="273" max="273" width="16.42578125" bestFit="1" customWidth="1"/>
    <col min="274" max="274" width="19.7109375" bestFit="1" customWidth="1"/>
    <col min="275" max="275" width="3.7109375" bestFit="1" customWidth="1"/>
    <col min="276" max="276" width="4.7109375" bestFit="1" customWidth="1"/>
    <col min="277" max="277" width="5.140625" bestFit="1" customWidth="1"/>
    <col min="278" max="278" width="15.7109375" bestFit="1" customWidth="1"/>
    <col min="279" max="279" width="16.7109375" bestFit="1" customWidth="1"/>
    <col min="280" max="280" width="5.28515625" bestFit="1" customWidth="1"/>
    <col min="281" max="281" width="3.7109375" bestFit="1" customWidth="1"/>
    <col min="282" max="282" width="14.140625" bestFit="1" customWidth="1"/>
    <col min="283" max="283" width="19.7109375" bestFit="1" customWidth="1"/>
    <col min="284" max="284" width="4.7109375" bestFit="1" customWidth="1"/>
    <col min="285" max="285" width="5.140625" bestFit="1" customWidth="1"/>
    <col min="286" max="286" width="15.7109375" bestFit="1" customWidth="1"/>
    <col min="287" max="287" width="16.7109375" bestFit="1" customWidth="1"/>
    <col min="288" max="288" width="23" bestFit="1" customWidth="1"/>
    <col min="289" max="289" width="5.28515625" bestFit="1" customWidth="1"/>
    <col min="290" max="290" width="3.7109375" bestFit="1" customWidth="1"/>
    <col min="291" max="291" width="16.42578125" bestFit="1" customWidth="1"/>
    <col min="292" max="292" width="19.7109375" bestFit="1" customWidth="1"/>
    <col min="293" max="293" width="7.140625" bestFit="1" customWidth="1"/>
    <col min="294" max="294" width="4.7109375" bestFit="1" customWidth="1"/>
    <col min="295" max="295" width="5.140625" bestFit="1" customWidth="1"/>
    <col min="296" max="296" width="15.7109375" bestFit="1" customWidth="1"/>
    <col min="297" max="297" width="16.7109375" bestFit="1" customWidth="1"/>
    <col min="298" max="298" width="5.28515625" bestFit="1" customWidth="1"/>
    <col min="299" max="299" width="3.7109375" bestFit="1" customWidth="1"/>
    <col min="300" max="300" width="14.140625" bestFit="1" customWidth="1"/>
    <col min="301" max="301" width="19.7109375" bestFit="1" customWidth="1"/>
    <col min="302" max="302" width="5.140625" bestFit="1" customWidth="1"/>
    <col min="303" max="303" width="15.7109375" bestFit="1" customWidth="1"/>
    <col min="304" max="304" width="16.7109375" bestFit="1" customWidth="1"/>
    <col min="305" max="305" width="23" bestFit="1" customWidth="1"/>
    <col min="306" max="306" width="5.28515625" bestFit="1" customWidth="1"/>
    <col min="307" max="307" width="16.42578125" bestFit="1" customWidth="1"/>
    <col min="308" max="308" width="11.42578125" bestFit="1" customWidth="1"/>
  </cols>
  <sheetData>
    <row r="1" spans="1:7">
      <c r="A1" s="1" t="s">
        <v>11</v>
      </c>
      <c r="B1" s="1" t="s">
        <v>9</v>
      </c>
      <c r="C1" s="1" t="s">
        <v>12</v>
      </c>
      <c r="D1" s="1" t="s">
        <v>138</v>
      </c>
      <c r="E1" s="1" t="s">
        <v>139</v>
      </c>
      <c r="F1" s="1" t="s">
        <v>140</v>
      </c>
      <c r="G1" s="1"/>
    </row>
    <row r="2" spans="1:7">
      <c r="A2" t="s">
        <v>141</v>
      </c>
      <c r="B2" t="s">
        <v>142</v>
      </c>
      <c r="C2" t="s">
        <v>143</v>
      </c>
      <c r="D2" t="s">
        <v>144</v>
      </c>
      <c r="F2" t="s">
        <v>145</v>
      </c>
    </row>
    <row r="3" spans="1:7">
      <c r="A3" t="s">
        <v>141</v>
      </c>
      <c r="B3" t="s">
        <v>142</v>
      </c>
      <c r="C3" t="s">
        <v>146</v>
      </c>
      <c r="D3" t="s">
        <v>144</v>
      </c>
      <c r="F3" t="s">
        <v>145</v>
      </c>
    </row>
    <row r="4" spans="1:7">
      <c r="A4" t="s">
        <v>141</v>
      </c>
      <c r="B4" t="s">
        <v>142</v>
      </c>
      <c r="C4" t="s">
        <v>147</v>
      </c>
      <c r="D4" t="s">
        <v>144</v>
      </c>
      <c r="F4" t="s">
        <v>145</v>
      </c>
    </row>
    <row r="5" spans="1:7">
      <c r="A5" t="s">
        <v>141</v>
      </c>
      <c r="B5" t="s">
        <v>142</v>
      </c>
      <c r="C5" t="s">
        <v>148</v>
      </c>
      <c r="D5" t="s">
        <v>144</v>
      </c>
      <c r="F5" t="s">
        <v>145</v>
      </c>
    </row>
    <row r="6" spans="1:7">
      <c r="A6" t="s">
        <v>141</v>
      </c>
      <c r="B6" t="s">
        <v>149</v>
      </c>
      <c r="C6" t="s">
        <v>150</v>
      </c>
      <c r="D6" t="s">
        <v>144</v>
      </c>
      <c r="F6" t="s">
        <v>145</v>
      </c>
    </row>
    <row r="7" spans="1:7">
      <c r="A7" t="s">
        <v>141</v>
      </c>
      <c r="B7" t="s">
        <v>149</v>
      </c>
      <c r="C7" t="s">
        <v>151</v>
      </c>
      <c r="D7" t="s">
        <v>144</v>
      </c>
      <c r="F7" t="s">
        <v>145</v>
      </c>
    </row>
    <row r="8" spans="1:7">
      <c r="A8" t="s">
        <v>141</v>
      </c>
      <c r="B8" t="s">
        <v>149</v>
      </c>
      <c r="C8" t="s">
        <v>152</v>
      </c>
      <c r="D8" t="s">
        <v>144</v>
      </c>
      <c r="F8" t="s">
        <v>145</v>
      </c>
    </row>
    <row r="9" spans="1:7">
      <c r="A9" t="s">
        <v>141</v>
      </c>
      <c r="B9" t="s">
        <v>153</v>
      </c>
      <c r="C9" t="s">
        <v>154</v>
      </c>
      <c r="D9" t="s">
        <v>144</v>
      </c>
      <c r="F9" t="s">
        <v>145</v>
      </c>
    </row>
    <row r="10" spans="1:7">
      <c r="A10" t="s">
        <v>141</v>
      </c>
      <c r="B10" t="s">
        <v>153</v>
      </c>
      <c r="C10" t="s">
        <v>155</v>
      </c>
      <c r="D10" t="s">
        <v>144</v>
      </c>
      <c r="F10" t="s">
        <v>145</v>
      </c>
    </row>
    <row r="11" spans="1:7">
      <c r="A11" t="s">
        <v>141</v>
      </c>
      <c r="B11" t="s">
        <v>153</v>
      </c>
      <c r="C11" t="s">
        <v>156</v>
      </c>
      <c r="D11" t="s">
        <v>144</v>
      </c>
      <c r="F11" t="s">
        <v>145</v>
      </c>
    </row>
    <row r="12" spans="1:7">
      <c r="A12" t="s">
        <v>141</v>
      </c>
      <c r="B12" t="s">
        <v>153</v>
      </c>
      <c r="C12" t="s">
        <v>157</v>
      </c>
      <c r="D12" t="s">
        <v>144</v>
      </c>
      <c r="F12" t="s">
        <v>145</v>
      </c>
    </row>
    <row r="13" spans="1:7">
      <c r="A13" t="s">
        <v>141</v>
      </c>
      <c r="B13" t="s">
        <v>158</v>
      </c>
      <c r="C13" t="s">
        <v>159</v>
      </c>
      <c r="D13" t="s">
        <v>160</v>
      </c>
      <c r="F13" t="s">
        <v>145</v>
      </c>
    </row>
    <row r="14" spans="1:7">
      <c r="A14" t="s">
        <v>141</v>
      </c>
      <c r="B14" t="s">
        <v>158</v>
      </c>
      <c r="C14" t="s">
        <v>161</v>
      </c>
      <c r="D14" t="s">
        <v>162</v>
      </c>
      <c r="F14" t="s">
        <v>145</v>
      </c>
    </row>
    <row r="15" spans="1:7">
      <c r="A15" t="s">
        <v>163</v>
      </c>
      <c r="B15" t="s">
        <v>142</v>
      </c>
      <c r="C15" t="s">
        <v>148</v>
      </c>
      <c r="D15" t="s">
        <v>164</v>
      </c>
      <c r="F15" t="s">
        <v>145</v>
      </c>
    </row>
    <row r="16" spans="1:7">
      <c r="A16" t="s">
        <v>163</v>
      </c>
      <c r="B16" t="s">
        <v>142</v>
      </c>
      <c r="C16" t="s">
        <v>150</v>
      </c>
      <c r="D16" t="s">
        <v>164</v>
      </c>
      <c r="F16" t="s">
        <v>145</v>
      </c>
    </row>
    <row r="17" spans="1:6">
      <c r="A17" t="s">
        <v>163</v>
      </c>
      <c r="B17" t="s">
        <v>149</v>
      </c>
      <c r="C17" t="s">
        <v>151</v>
      </c>
      <c r="D17" t="s">
        <v>164</v>
      </c>
      <c r="F17" t="s">
        <v>145</v>
      </c>
    </row>
    <row r="18" spans="1:6">
      <c r="A18" t="s">
        <v>163</v>
      </c>
      <c r="B18" t="s">
        <v>142</v>
      </c>
      <c r="C18" t="s">
        <v>165</v>
      </c>
      <c r="D18" t="s">
        <v>144</v>
      </c>
      <c r="F18" t="s">
        <v>145</v>
      </c>
    </row>
    <row r="19" spans="1:6">
      <c r="A19" t="s">
        <v>163</v>
      </c>
      <c r="B19" t="s">
        <v>142</v>
      </c>
      <c r="C19" t="s">
        <v>166</v>
      </c>
      <c r="D19" t="s">
        <v>144</v>
      </c>
      <c r="F19" t="s">
        <v>145</v>
      </c>
    </row>
    <row r="20" spans="1:6">
      <c r="A20" t="s">
        <v>163</v>
      </c>
      <c r="B20" t="s">
        <v>142</v>
      </c>
      <c r="C20" t="s">
        <v>167</v>
      </c>
      <c r="D20" t="s">
        <v>144</v>
      </c>
      <c r="F20" t="s">
        <v>145</v>
      </c>
    </row>
    <row r="21" spans="1:6">
      <c r="A21" t="s">
        <v>163</v>
      </c>
      <c r="B21" t="s">
        <v>149</v>
      </c>
      <c r="C21" t="s">
        <v>152</v>
      </c>
      <c r="D21" t="s">
        <v>164</v>
      </c>
      <c r="F21" t="s">
        <v>145</v>
      </c>
    </row>
    <row r="22" spans="1:6">
      <c r="A22" t="s">
        <v>163</v>
      </c>
      <c r="B22" t="s">
        <v>149</v>
      </c>
      <c r="C22" t="s">
        <v>168</v>
      </c>
      <c r="D22" t="s">
        <v>144</v>
      </c>
      <c r="F22" t="s">
        <v>145</v>
      </c>
    </row>
    <row r="23" spans="1:6">
      <c r="A23" t="s">
        <v>163</v>
      </c>
      <c r="B23" t="s">
        <v>149</v>
      </c>
      <c r="C23" t="s">
        <v>169</v>
      </c>
      <c r="D23" t="s">
        <v>144</v>
      </c>
      <c r="F23" t="s">
        <v>145</v>
      </c>
    </row>
    <row r="24" spans="1:6">
      <c r="A24" t="s">
        <v>163</v>
      </c>
      <c r="B24" t="s">
        <v>149</v>
      </c>
      <c r="C24" t="s">
        <v>170</v>
      </c>
      <c r="D24" t="s">
        <v>144</v>
      </c>
      <c r="F24" t="s">
        <v>145</v>
      </c>
    </row>
    <row r="25" spans="1:6">
      <c r="A25" t="s">
        <v>163</v>
      </c>
      <c r="B25" t="s">
        <v>149</v>
      </c>
      <c r="C25" t="s">
        <v>171</v>
      </c>
      <c r="D25" t="s">
        <v>144</v>
      </c>
      <c r="F25" t="s">
        <v>145</v>
      </c>
    </row>
    <row r="26" spans="1:6">
      <c r="A26" t="s">
        <v>163</v>
      </c>
      <c r="B26" t="s">
        <v>153</v>
      </c>
      <c r="C26" t="s">
        <v>156</v>
      </c>
      <c r="D26" t="s">
        <v>164</v>
      </c>
      <c r="F26" t="s">
        <v>145</v>
      </c>
    </row>
    <row r="27" spans="1:6">
      <c r="A27" t="s">
        <v>163</v>
      </c>
      <c r="B27" t="s">
        <v>153</v>
      </c>
      <c r="C27" t="s">
        <v>172</v>
      </c>
      <c r="D27" t="s">
        <v>144</v>
      </c>
      <c r="F27" t="s">
        <v>145</v>
      </c>
    </row>
    <row r="28" spans="1:6">
      <c r="A28" t="s">
        <v>163</v>
      </c>
      <c r="B28" t="s">
        <v>153</v>
      </c>
      <c r="C28" t="s">
        <v>173</v>
      </c>
      <c r="D28" t="s">
        <v>144</v>
      </c>
      <c r="F28" t="s">
        <v>145</v>
      </c>
    </row>
    <row r="29" spans="1:6">
      <c r="A29" t="s">
        <v>163</v>
      </c>
      <c r="B29" t="s">
        <v>153</v>
      </c>
      <c r="C29" t="s">
        <v>174</v>
      </c>
      <c r="D29" t="s">
        <v>144</v>
      </c>
      <c r="F29" t="s">
        <v>145</v>
      </c>
    </row>
    <row r="30" spans="1:6">
      <c r="A30" t="s">
        <v>163</v>
      </c>
      <c r="B30" t="s">
        <v>153</v>
      </c>
      <c r="C30" t="s">
        <v>175</v>
      </c>
      <c r="D30" t="s">
        <v>144</v>
      </c>
      <c r="F30" t="s">
        <v>145</v>
      </c>
    </row>
    <row r="31" spans="1:6">
      <c r="A31" t="s">
        <v>163</v>
      </c>
      <c r="B31" t="s">
        <v>158</v>
      </c>
      <c r="C31" t="s">
        <v>159</v>
      </c>
      <c r="D31" t="s">
        <v>160</v>
      </c>
      <c r="F31" t="s">
        <v>145</v>
      </c>
    </row>
    <row r="32" spans="1:6">
      <c r="A32" t="s">
        <v>163</v>
      </c>
      <c r="B32" t="s">
        <v>158</v>
      </c>
      <c r="C32" t="s">
        <v>161</v>
      </c>
      <c r="D32" t="s">
        <v>162</v>
      </c>
      <c r="F32" t="s">
        <v>145</v>
      </c>
    </row>
    <row r="33" spans="1:6">
      <c r="A33" t="s">
        <v>176</v>
      </c>
      <c r="B33" t="s">
        <v>142</v>
      </c>
      <c r="C33" t="s">
        <v>170</v>
      </c>
      <c r="D33" t="s">
        <v>164</v>
      </c>
      <c r="F33" t="s">
        <v>145</v>
      </c>
    </row>
    <row r="34" spans="1:6">
      <c r="A34" t="s">
        <v>176</v>
      </c>
      <c r="B34" t="s">
        <v>142</v>
      </c>
      <c r="C34" t="s">
        <v>177</v>
      </c>
      <c r="D34" t="s">
        <v>144</v>
      </c>
      <c r="F34" t="s">
        <v>145</v>
      </c>
    </row>
    <row r="35" spans="1:6">
      <c r="A35" t="s">
        <v>176</v>
      </c>
      <c r="B35" t="s">
        <v>142</v>
      </c>
      <c r="C35" t="s">
        <v>178</v>
      </c>
      <c r="D35" t="s">
        <v>144</v>
      </c>
      <c r="F35" t="s">
        <v>145</v>
      </c>
    </row>
    <row r="36" spans="1:6">
      <c r="A36" t="s">
        <v>176</v>
      </c>
      <c r="B36" t="s">
        <v>142</v>
      </c>
      <c r="C36" t="s">
        <v>179</v>
      </c>
      <c r="D36" t="s">
        <v>144</v>
      </c>
      <c r="F36" t="s">
        <v>145</v>
      </c>
    </row>
    <row r="37" spans="1:6">
      <c r="A37" t="s">
        <v>176</v>
      </c>
      <c r="B37" t="s">
        <v>142</v>
      </c>
      <c r="C37" t="s">
        <v>180</v>
      </c>
      <c r="D37" t="s">
        <v>144</v>
      </c>
      <c r="F37" t="s">
        <v>145</v>
      </c>
    </row>
    <row r="38" spans="1:6">
      <c r="A38" t="s">
        <v>176</v>
      </c>
      <c r="B38" t="s">
        <v>142</v>
      </c>
      <c r="C38" t="s">
        <v>181</v>
      </c>
      <c r="D38" t="s">
        <v>144</v>
      </c>
      <c r="F38" t="s">
        <v>145</v>
      </c>
    </row>
    <row r="39" spans="1:6">
      <c r="A39" t="s">
        <v>176</v>
      </c>
      <c r="B39" t="s">
        <v>149</v>
      </c>
      <c r="C39" t="s">
        <v>172</v>
      </c>
      <c r="D39" t="s">
        <v>164</v>
      </c>
      <c r="F39" t="s">
        <v>145</v>
      </c>
    </row>
    <row r="40" spans="1:6">
      <c r="A40" t="s">
        <v>176</v>
      </c>
      <c r="B40" t="s">
        <v>149</v>
      </c>
      <c r="C40" t="s">
        <v>182</v>
      </c>
      <c r="D40" t="s">
        <v>144</v>
      </c>
      <c r="F40" t="s">
        <v>145</v>
      </c>
    </row>
    <row r="41" spans="1:6">
      <c r="A41" t="s">
        <v>176</v>
      </c>
      <c r="B41" t="s">
        <v>149</v>
      </c>
      <c r="C41" t="s">
        <v>183</v>
      </c>
      <c r="D41" t="s">
        <v>144</v>
      </c>
      <c r="F41" t="s">
        <v>145</v>
      </c>
    </row>
    <row r="42" spans="1:6">
      <c r="A42" t="s">
        <v>176</v>
      </c>
      <c r="B42" t="s">
        <v>149</v>
      </c>
      <c r="C42" t="s">
        <v>184</v>
      </c>
      <c r="D42" t="s">
        <v>144</v>
      </c>
      <c r="F42" t="s">
        <v>145</v>
      </c>
    </row>
    <row r="43" spans="1:6">
      <c r="A43" t="s">
        <v>176</v>
      </c>
      <c r="B43" t="s">
        <v>149</v>
      </c>
      <c r="C43" t="s">
        <v>185</v>
      </c>
      <c r="D43" t="s">
        <v>144</v>
      </c>
      <c r="F43" t="s">
        <v>145</v>
      </c>
    </row>
    <row r="44" spans="1:6">
      <c r="A44" t="s">
        <v>176</v>
      </c>
      <c r="B44" t="s">
        <v>153</v>
      </c>
      <c r="C44" t="s">
        <v>174</v>
      </c>
      <c r="D44" t="s">
        <v>164</v>
      </c>
      <c r="F44" t="s">
        <v>145</v>
      </c>
    </row>
    <row r="45" spans="1:6">
      <c r="A45" t="s">
        <v>176</v>
      </c>
      <c r="B45" t="s">
        <v>153</v>
      </c>
      <c r="C45" t="s">
        <v>186</v>
      </c>
      <c r="D45" t="s">
        <v>144</v>
      </c>
      <c r="F45" t="s">
        <v>145</v>
      </c>
    </row>
    <row r="46" spans="1:6">
      <c r="A46" t="s">
        <v>176</v>
      </c>
      <c r="B46" t="s">
        <v>153</v>
      </c>
      <c r="C46" t="s">
        <v>187</v>
      </c>
      <c r="D46" t="s">
        <v>144</v>
      </c>
      <c r="F46" t="s">
        <v>145</v>
      </c>
    </row>
    <row r="47" spans="1:6">
      <c r="A47" t="s">
        <v>176</v>
      </c>
      <c r="B47" t="s">
        <v>153</v>
      </c>
      <c r="C47" t="s">
        <v>188</v>
      </c>
      <c r="D47" t="s">
        <v>144</v>
      </c>
      <c r="F47" t="s">
        <v>145</v>
      </c>
    </row>
    <row r="48" spans="1:6">
      <c r="A48" t="s">
        <v>176</v>
      </c>
      <c r="B48" t="s">
        <v>153</v>
      </c>
      <c r="C48" t="s">
        <v>189</v>
      </c>
      <c r="D48" t="s">
        <v>144</v>
      </c>
      <c r="F48" t="s">
        <v>145</v>
      </c>
    </row>
    <row r="49" spans="1:6">
      <c r="A49" t="s">
        <v>176</v>
      </c>
      <c r="B49" t="s">
        <v>153</v>
      </c>
      <c r="C49" t="s">
        <v>190</v>
      </c>
      <c r="D49" t="s">
        <v>144</v>
      </c>
      <c r="F49" t="s">
        <v>145</v>
      </c>
    </row>
    <row r="50" spans="1:6">
      <c r="A50" t="s">
        <v>176</v>
      </c>
      <c r="B50" t="s">
        <v>158</v>
      </c>
      <c r="C50" t="s">
        <v>159</v>
      </c>
      <c r="D50" t="s">
        <v>160</v>
      </c>
      <c r="F50" t="s">
        <v>145</v>
      </c>
    </row>
    <row r="51" spans="1:6">
      <c r="A51" t="s">
        <v>191</v>
      </c>
      <c r="B51" t="s">
        <v>142</v>
      </c>
      <c r="C51" t="s">
        <v>177</v>
      </c>
      <c r="D51" t="s">
        <v>164</v>
      </c>
      <c r="F51" t="s">
        <v>145</v>
      </c>
    </row>
    <row r="52" spans="1:6">
      <c r="A52" t="s">
        <v>191</v>
      </c>
      <c r="B52" t="s">
        <v>142</v>
      </c>
      <c r="C52" t="s">
        <v>192</v>
      </c>
      <c r="D52" t="s">
        <v>144</v>
      </c>
      <c r="F52" t="s">
        <v>145</v>
      </c>
    </row>
    <row r="53" spans="1:6">
      <c r="A53" t="s">
        <v>191</v>
      </c>
      <c r="B53" t="s">
        <v>142</v>
      </c>
      <c r="C53" t="s">
        <v>193</v>
      </c>
      <c r="D53" t="s">
        <v>144</v>
      </c>
      <c r="F53" t="s">
        <v>145</v>
      </c>
    </row>
    <row r="54" spans="1:6">
      <c r="A54" t="s">
        <v>191</v>
      </c>
      <c r="B54" t="s">
        <v>142</v>
      </c>
      <c r="C54" t="s">
        <v>194</v>
      </c>
      <c r="D54" t="s">
        <v>144</v>
      </c>
      <c r="F54" t="s">
        <v>145</v>
      </c>
    </row>
    <row r="55" spans="1:6">
      <c r="A55" t="s">
        <v>191</v>
      </c>
      <c r="B55" t="s">
        <v>142</v>
      </c>
      <c r="C55" t="s">
        <v>195</v>
      </c>
      <c r="D55" t="s">
        <v>144</v>
      </c>
      <c r="F55" t="s">
        <v>145</v>
      </c>
    </row>
    <row r="56" spans="1:6">
      <c r="A56" t="s">
        <v>191</v>
      </c>
      <c r="B56" t="s">
        <v>149</v>
      </c>
      <c r="C56" t="s">
        <v>181</v>
      </c>
      <c r="D56" t="s">
        <v>164</v>
      </c>
      <c r="F56" t="s">
        <v>145</v>
      </c>
    </row>
    <row r="57" spans="1:6">
      <c r="A57" t="s">
        <v>191</v>
      </c>
      <c r="B57" t="s">
        <v>149</v>
      </c>
      <c r="C57" t="s">
        <v>196</v>
      </c>
      <c r="D57" t="s">
        <v>144</v>
      </c>
      <c r="F57" t="s">
        <v>145</v>
      </c>
    </row>
    <row r="58" spans="1:6">
      <c r="A58" t="s">
        <v>191</v>
      </c>
      <c r="B58" t="s">
        <v>149</v>
      </c>
      <c r="C58" t="s">
        <v>197</v>
      </c>
      <c r="D58" t="s">
        <v>144</v>
      </c>
      <c r="F58" t="s">
        <v>145</v>
      </c>
    </row>
    <row r="59" spans="1:6">
      <c r="A59" t="s">
        <v>191</v>
      </c>
      <c r="B59" t="s">
        <v>149</v>
      </c>
      <c r="C59" t="s">
        <v>198</v>
      </c>
      <c r="D59" t="s">
        <v>144</v>
      </c>
      <c r="F59" t="s">
        <v>145</v>
      </c>
    </row>
    <row r="60" spans="1:6">
      <c r="A60" t="s">
        <v>191</v>
      </c>
      <c r="B60" t="s">
        <v>149</v>
      </c>
      <c r="C60" t="s">
        <v>199</v>
      </c>
      <c r="D60" t="s">
        <v>144</v>
      </c>
      <c r="F60" t="s">
        <v>145</v>
      </c>
    </row>
    <row r="61" spans="1:6">
      <c r="A61" t="s">
        <v>191</v>
      </c>
      <c r="B61" t="s">
        <v>149</v>
      </c>
      <c r="C61" t="s">
        <v>200</v>
      </c>
      <c r="D61" t="s">
        <v>144</v>
      </c>
      <c r="F61" t="s">
        <v>145</v>
      </c>
    </row>
    <row r="62" spans="1:6">
      <c r="A62" t="s">
        <v>191</v>
      </c>
      <c r="B62" t="s">
        <v>153</v>
      </c>
      <c r="C62" t="s">
        <v>190</v>
      </c>
      <c r="D62" t="s">
        <v>164</v>
      </c>
      <c r="F62" t="s">
        <v>145</v>
      </c>
    </row>
    <row r="63" spans="1:6">
      <c r="A63" t="s">
        <v>191</v>
      </c>
      <c r="B63" t="s">
        <v>153</v>
      </c>
      <c r="C63" t="s">
        <v>201</v>
      </c>
      <c r="D63" t="s">
        <v>144</v>
      </c>
      <c r="F63" t="s">
        <v>145</v>
      </c>
    </row>
    <row r="64" spans="1:6">
      <c r="A64" t="s">
        <v>191</v>
      </c>
      <c r="B64" t="s">
        <v>153</v>
      </c>
      <c r="C64" t="s">
        <v>202</v>
      </c>
      <c r="D64" t="s">
        <v>144</v>
      </c>
      <c r="F64" t="s">
        <v>145</v>
      </c>
    </row>
    <row r="65" spans="1:6">
      <c r="A65" t="s">
        <v>191</v>
      </c>
      <c r="B65" t="s">
        <v>153</v>
      </c>
      <c r="C65" t="s">
        <v>203</v>
      </c>
      <c r="D65" t="s">
        <v>144</v>
      </c>
      <c r="F65" t="s">
        <v>145</v>
      </c>
    </row>
    <row r="66" spans="1:6">
      <c r="A66" t="s">
        <v>191</v>
      </c>
      <c r="B66" t="s">
        <v>153</v>
      </c>
      <c r="C66" t="s">
        <v>204</v>
      </c>
      <c r="D66" t="s">
        <v>144</v>
      </c>
      <c r="F66" t="s">
        <v>145</v>
      </c>
    </row>
    <row r="67" spans="1:6">
      <c r="A67" t="s">
        <v>191</v>
      </c>
      <c r="B67" t="s">
        <v>158</v>
      </c>
      <c r="C67" t="s">
        <v>159</v>
      </c>
      <c r="D67" t="s">
        <v>160</v>
      </c>
      <c r="F67" t="s">
        <v>145</v>
      </c>
    </row>
    <row r="68" spans="1:6">
      <c r="A68" t="s">
        <v>205</v>
      </c>
      <c r="B68" t="s">
        <v>142</v>
      </c>
      <c r="C68" t="s">
        <v>178</v>
      </c>
      <c r="D68" t="s">
        <v>164</v>
      </c>
      <c r="F68" t="s">
        <v>145</v>
      </c>
    </row>
    <row r="69" spans="1:6">
      <c r="A69" t="s">
        <v>205</v>
      </c>
      <c r="B69" t="s">
        <v>142</v>
      </c>
      <c r="C69" t="s">
        <v>206</v>
      </c>
      <c r="D69" t="s">
        <v>144</v>
      </c>
      <c r="F69" t="s">
        <v>145</v>
      </c>
    </row>
    <row r="70" spans="1:6">
      <c r="A70" t="s">
        <v>205</v>
      </c>
      <c r="B70" t="s">
        <v>142</v>
      </c>
      <c r="C70" t="s">
        <v>207</v>
      </c>
      <c r="D70" t="s">
        <v>144</v>
      </c>
      <c r="F70" t="s">
        <v>145</v>
      </c>
    </row>
    <row r="71" spans="1:6">
      <c r="A71" t="s">
        <v>205</v>
      </c>
      <c r="B71" t="s">
        <v>142</v>
      </c>
      <c r="C71" t="s">
        <v>208</v>
      </c>
      <c r="D71" t="s">
        <v>144</v>
      </c>
      <c r="F71" t="s">
        <v>145</v>
      </c>
    </row>
    <row r="72" spans="1:6">
      <c r="A72" t="s">
        <v>205</v>
      </c>
      <c r="B72" t="s">
        <v>142</v>
      </c>
      <c r="C72" t="s">
        <v>209</v>
      </c>
      <c r="D72" t="s">
        <v>144</v>
      </c>
      <c r="F72" t="s">
        <v>145</v>
      </c>
    </row>
    <row r="73" spans="1:6">
      <c r="A73" t="s">
        <v>205</v>
      </c>
      <c r="B73" t="s">
        <v>149</v>
      </c>
      <c r="C73" t="s">
        <v>186</v>
      </c>
      <c r="D73" t="s">
        <v>164</v>
      </c>
      <c r="F73" t="s">
        <v>145</v>
      </c>
    </row>
    <row r="74" spans="1:6">
      <c r="A74" t="s">
        <v>205</v>
      </c>
      <c r="B74" t="s">
        <v>149</v>
      </c>
      <c r="C74" t="s">
        <v>210</v>
      </c>
      <c r="D74" t="s">
        <v>144</v>
      </c>
      <c r="F74" t="s">
        <v>145</v>
      </c>
    </row>
    <row r="75" spans="1:6">
      <c r="A75" t="s">
        <v>205</v>
      </c>
      <c r="B75" t="s">
        <v>149</v>
      </c>
      <c r="C75" t="s">
        <v>211</v>
      </c>
      <c r="D75" t="s">
        <v>144</v>
      </c>
      <c r="F75" t="s">
        <v>145</v>
      </c>
    </row>
    <row r="76" spans="1:6">
      <c r="A76" t="s">
        <v>205</v>
      </c>
      <c r="B76" t="s">
        <v>149</v>
      </c>
      <c r="C76" t="s">
        <v>212</v>
      </c>
      <c r="D76" t="s">
        <v>144</v>
      </c>
      <c r="F76" t="s">
        <v>145</v>
      </c>
    </row>
    <row r="77" spans="1:6">
      <c r="A77" t="s">
        <v>205</v>
      </c>
      <c r="B77" t="s">
        <v>153</v>
      </c>
      <c r="C77" t="s">
        <v>187</v>
      </c>
      <c r="D77" t="s">
        <v>164</v>
      </c>
      <c r="F77" t="s">
        <v>145</v>
      </c>
    </row>
    <row r="78" spans="1:6">
      <c r="A78" t="s">
        <v>205</v>
      </c>
      <c r="B78" t="s">
        <v>153</v>
      </c>
      <c r="C78" t="s">
        <v>213</v>
      </c>
      <c r="D78" t="s">
        <v>144</v>
      </c>
      <c r="F78" t="s">
        <v>145</v>
      </c>
    </row>
    <row r="79" spans="1:6">
      <c r="A79" t="s">
        <v>205</v>
      </c>
      <c r="B79" t="s">
        <v>153</v>
      </c>
      <c r="C79" t="s">
        <v>214</v>
      </c>
      <c r="D79" t="s">
        <v>144</v>
      </c>
      <c r="F79" t="s">
        <v>145</v>
      </c>
    </row>
    <row r="80" spans="1:6">
      <c r="A80" t="s">
        <v>205</v>
      </c>
      <c r="B80" t="s">
        <v>153</v>
      </c>
      <c r="C80" t="s">
        <v>215</v>
      </c>
      <c r="D80" t="s">
        <v>144</v>
      </c>
      <c r="F80" t="s">
        <v>145</v>
      </c>
    </row>
    <row r="81" spans="1:6">
      <c r="A81" t="s">
        <v>205</v>
      </c>
      <c r="B81" t="s">
        <v>153</v>
      </c>
      <c r="C81" t="s">
        <v>216</v>
      </c>
      <c r="D81" t="s">
        <v>144</v>
      </c>
      <c r="F81" t="s">
        <v>145</v>
      </c>
    </row>
    <row r="82" spans="1:6">
      <c r="A82" t="s">
        <v>205</v>
      </c>
      <c r="B82" t="s">
        <v>158</v>
      </c>
      <c r="C82" t="s">
        <v>159</v>
      </c>
      <c r="D82" t="s">
        <v>160</v>
      </c>
      <c r="F82" t="s">
        <v>145</v>
      </c>
    </row>
    <row r="83" spans="1:6">
      <c r="A83" t="s">
        <v>205</v>
      </c>
      <c r="B83" t="s">
        <v>158</v>
      </c>
      <c r="C83" t="s">
        <v>189</v>
      </c>
      <c r="D83" t="s">
        <v>217</v>
      </c>
      <c r="F83" t="s">
        <v>145</v>
      </c>
    </row>
    <row r="84" spans="1:6">
      <c r="A84" t="s">
        <v>205</v>
      </c>
      <c r="B84" t="s">
        <v>158</v>
      </c>
      <c r="C84" t="s">
        <v>218</v>
      </c>
      <c r="D84" t="s">
        <v>219</v>
      </c>
      <c r="F84" t="s">
        <v>145</v>
      </c>
    </row>
    <row r="85" spans="1:6">
      <c r="A85" t="s">
        <v>220</v>
      </c>
      <c r="B85" t="s">
        <v>142</v>
      </c>
      <c r="C85" t="s">
        <v>196</v>
      </c>
      <c r="D85" t="s">
        <v>164</v>
      </c>
      <c r="F85" t="s">
        <v>145</v>
      </c>
    </row>
    <row r="86" spans="1:6">
      <c r="A86" t="s">
        <v>220</v>
      </c>
      <c r="B86" t="s">
        <v>142</v>
      </c>
      <c r="C86" t="s">
        <v>221</v>
      </c>
      <c r="D86" t="s">
        <v>144</v>
      </c>
      <c r="F86" t="s">
        <v>145</v>
      </c>
    </row>
    <row r="87" spans="1:6">
      <c r="A87" t="s">
        <v>220</v>
      </c>
      <c r="B87" t="s">
        <v>142</v>
      </c>
      <c r="C87" t="s">
        <v>222</v>
      </c>
      <c r="D87" t="s">
        <v>144</v>
      </c>
      <c r="F87" t="s">
        <v>145</v>
      </c>
    </row>
    <row r="88" spans="1:6">
      <c r="A88" t="s">
        <v>220</v>
      </c>
      <c r="B88" t="s">
        <v>142</v>
      </c>
      <c r="C88" t="s">
        <v>223</v>
      </c>
      <c r="D88" t="s">
        <v>144</v>
      </c>
      <c r="F88" t="s">
        <v>145</v>
      </c>
    </row>
    <row r="89" spans="1:6">
      <c r="A89" t="s">
        <v>220</v>
      </c>
      <c r="B89" t="s">
        <v>142</v>
      </c>
      <c r="C89" t="s">
        <v>224</v>
      </c>
      <c r="D89" t="s">
        <v>144</v>
      </c>
      <c r="F89" t="s">
        <v>145</v>
      </c>
    </row>
    <row r="90" spans="1:6">
      <c r="A90" t="s">
        <v>220</v>
      </c>
      <c r="B90" t="s">
        <v>149</v>
      </c>
      <c r="C90" t="s">
        <v>207</v>
      </c>
      <c r="D90" t="s">
        <v>164</v>
      </c>
      <c r="F90" t="s">
        <v>145</v>
      </c>
    </row>
    <row r="91" spans="1:6">
      <c r="A91" t="s">
        <v>220</v>
      </c>
      <c r="B91" t="s">
        <v>149</v>
      </c>
      <c r="C91" t="s">
        <v>225</v>
      </c>
      <c r="D91" t="s">
        <v>144</v>
      </c>
      <c r="F91" t="s">
        <v>145</v>
      </c>
    </row>
    <row r="92" spans="1:6">
      <c r="A92" t="s">
        <v>220</v>
      </c>
      <c r="B92" t="s">
        <v>149</v>
      </c>
      <c r="C92" t="s">
        <v>226</v>
      </c>
      <c r="D92" t="s">
        <v>144</v>
      </c>
      <c r="F92" t="s">
        <v>145</v>
      </c>
    </row>
    <row r="93" spans="1:6">
      <c r="A93" t="s">
        <v>220</v>
      </c>
      <c r="B93" t="s">
        <v>149</v>
      </c>
      <c r="C93" t="s">
        <v>227</v>
      </c>
      <c r="D93" t="s">
        <v>144</v>
      </c>
      <c r="F93" t="s">
        <v>145</v>
      </c>
    </row>
    <row r="94" spans="1:6">
      <c r="A94" t="s">
        <v>220</v>
      </c>
      <c r="B94" t="s">
        <v>149</v>
      </c>
      <c r="C94" t="s">
        <v>228</v>
      </c>
      <c r="D94" t="s">
        <v>144</v>
      </c>
      <c r="F94" t="s">
        <v>145</v>
      </c>
    </row>
    <row r="95" spans="1:6">
      <c r="A95" t="s">
        <v>220</v>
      </c>
      <c r="B95" t="s">
        <v>153</v>
      </c>
      <c r="C95" t="s">
        <v>208</v>
      </c>
      <c r="D95" t="s">
        <v>164</v>
      </c>
      <c r="F95" t="s">
        <v>145</v>
      </c>
    </row>
    <row r="96" spans="1:6">
      <c r="A96" t="s">
        <v>220</v>
      </c>
      <c r="B96" t="s">
        <v>153</v>
      </c>
      <c r="C96" t="s">
        <v>229</v>
      </c>
      <c r="D96" t="s">
        <v>144</v>
      </c>
      <c r="F96" t="s">
        <v>145</v>
      </c>
    </row>
    <row r="97" spans="1:6">
      <c r="A97" t="s">
        <v>220</v>
      </c>
      <c r="B97" t="s">
        <v>153</v>
      </c>
      <c r="C97" t="s">
        <v>230</v>
      </c>
      <c r="D97" t="s">
        <v>144</v>
      </c>
      <c r="F97" t="s">
        <v>145</v>
      </c>
    </row>
    <row r="98" spans="1:6">
      <c r="A98" t="s">
        <v>220</v>
      </c>
      <c r="B98" t="s">
        <v>153</v>
      </c>
      <c r="C98" t="s">
        <v>231</v>
      </c>
      <c r="D98" t="s">
        <v>144</v>
      </c>
      <c r="F98" t="s">
        <v>145</v>
      </c>
    </row>
    <row r="99" spans="1:6">
      <c r="A99" t="s">
        <v>220</v>
      </c>
      <c r="B99" t="s">
        <v>153</v>
      </c>
      <c r="C99" t="s">
        <v>232</v>
      </c>
      <c r="D99" t="s">
        <v>144</v>
      </c>
      <c r="F99" t="s">
        <v>145</v>
      </c>
    </row>
    <row r="100" spans="1:6">
      <c r="A100" t="s">
        <v>220</v>
      </c>
      <c r="B100" t="s">
        <v>158</v>
      </c>
      <c r="C100" t="s">
        <v>218</v>
      </c>
      <c r="D100" t="s">
        <v>219</v>
      </c>
      <c r="F100" t="s">
        <v>145</v>
      </c>
    </row>
    <row r="101" spans="1:6">
      <c r="A101" t="s">
        <v>220</v>
      </c>
      <c r="B101" t="s">
        <v>158</v>
      </c>
      <c r="C101" t="s">
        <v>189</v>
      </c>
      <c r="D101" t="s">
        <v>217</v>
      </c>
      <c r="F101" t="s">
        <v>145</v>
      </c>
    </row>
    <row r="102" spans="1:6">
      <c r="A102" t="s">
        <v>233</v>
      </c>
      <c r="B102" t="s">
        <v>142</v>
      </c>
      <c r="C102" t="s">
        <v>223</v>
      </c>
      <c r="D102" t="s">
        <v>164</v>
      </c>
      <c r="F102" t="s">
        <v>145</v>
      </c>
    </row>
    <row r="103" spans="1:6">
      <c r="A103" t="s">
        <v>233</v>
      </c>
      <c r="B103" t="s">
        <v>142</v>
      </c>
      <c r="C103" t="s">
        <v>234</v>
      </c>
      <c r="D103" t="s">
        <v>144</v>
      </c>
      <c r="F103" t="s">
        <v>145</v>
      </c>
    </row>
    <row r="104" spans="1:6">
      <c r="A104" t="s">
        <v>233</v>
      </c>
      <c r="B104" t="s">
        <v>142</v>
      </c>
      <c r="C104" t="s">
        <v>235</v>
      </c>
      <c r="D104" t="s">
        <v>144</v>
      </c>
      <c r="F104" t="s">
        <v>145</v>
      </c>
    </row>
    <row r="105" spans="1:6">
      <c r="A105" t="s">
        <v>233</v>
      </c>
      <c r="B105" t="s">
        <v>142</v>
      </c>
      <c r="C105" t="s">
        <v>236</v>
      </c>
      <c r="D105" t="s">
        <v>144</v>
      </c>
      <c r="F105" t="s">
        <v>145</v>
      </c>
    </row>
    <row r="106" spans="1:6">
      <c r="A106" t="s">
        <v>233</v>
      </c>
      <c r="B106" t="s">
        <v>149</v>
      </c>
      <c r="C106" t="s">
        <v>228</v>
      </c>
      <c r="D106" t="s">
        <v>164</v>
      </c>
      <c r="F106" t="s">
        <v>145</v>
      </c>
    </row>
    <row r="107" spans="1:6">
      <c r="A107" t="s">
        <v>233</v>
      </c>
      <c r="B107" t="s">
        <v>149</v>
      </c>
      <c r="C107" t="s">
        <v>237</v>
      </c>
      <c r="D107" t="s">
        <v>144</v>
      </c>
      <c r="F107" t="s">
        <v>145</v>
      </c>
    </row>
    <row r="108" spans="1:6">
      <c r="A108" t="s">
        <v>233</v>
      </c>
      <c r="B108" t="s">
        <v>149</v>
      </c>
      <c r="C108" t="s">
        <v>238</v>
      </c>
      <c r="D108" t="s">
        <v>144</v>
      </c>
      <c r="F108" t="s">
        <v>145</v>
      </c>
    </row>
    <row r="109" spans="1:6">
      <c r="A109" t="s">
        <v>233</v>
      </c>
      <c r="B109" t="s">
        <v>149</v>
      </c>
      <c r="C109" t="s">
        <v>239</v>
      </c>
      <c r="D109" t="s">
        <v>144</v>
      </c>
      <c r="F109" t="s">
        <v>145</v>
      </c>
    </row>
    <row r="110" spans="1:6">
      <c r="A110" t="s">
        <v>233</v>
      </c>
      <c r="B110" t="s">
        <v>153</v>
      </c>
      <c r="C110" t="s">
        <v>232</v>
      </c>
      <c r="D110" t="s">
        <v>164</v>
      </c>
      <c r="F110" t="s">
        <v>145</v>
      </c>
    </row>
    <row r="111" spans="1:6">
      <c r="A111" t="s">
        <v>233</v>
      </c>
      <c r="B111" t="s">
        <v>153</v>
      </c>
      <c r="C111" t="s">
        <v>240</v>
      </c>
      <c r="D111" t="s">
        <v>144</v>
      </c>
      <c r="F111" t="s">
        <v>145</v>
      </c>
    </row>
    <row r="112" spans="1:6">
      <c r="A112" t="s">
        <v>233</v>
      </c>
      <c r="B112" t="s">
        <v>153</v>
      </c>
      <c r="C112" t="s">
        <v>241</v>
      </c>
      <c r="D112" t="s">
        <v>144</v>
      </c>
      <c r="F112" t="s">
        <v>145</v>
      </c>
    </row>
    <row r="113" spans="1:6">
      <c r="A113" t="s">
        <v>233</v>
      </c>
      <c r="B113" t="s">
        <v>153</v>
      </c>
      <c r="C113" t="s">
        <v>242</v>
      </c>
      <c r="D113" t="s">
        <v>144</v>
      </c>
      <c r="F113" t="s">
        <v>145</v>
      </c>
    </row>
    <row r="114" spans="1:6">
      <c r="A114" t="s">
        <v>233</v>
      </c>
      <c r="B114" t="s">
        <v>158</v>
      </c>
      <c r="C114" t="s">
        <v>189</v>
      </c>
      <c r="D114" t="s">
        <v>217</v>
      </c>
      <c r="F114" t="s">
        <v>145</v>
      </c>
    </row>
    <row r="115" spans="1:6">
      <c r="A115" t="s">
        <v>233</v>
      </c>
      <c r="B115" t="s">
        <v>158</v>
      </c>
      <c r="C115" t="s">
        <v>218</v>
      </c>
      <c r="D115" t="s">
        <v>219</v>
      </c>
      <c r="F115" t="s">
        <v>145</v>
      </c>
    </row>
    <row r="116" spans="1:6">
      <c r="A116" t="s">
        <v>243</v>
      </c>
      <c r="B116" t="s">
        <v>142</v>
      </c>
      <c r="C116" t="s">
        <v>237</v>
      </c>
      <c r="D116" t="s">
        <v>164</v>
      </c>
      <c r="F116" t="s">
        <v>145</v>
      </c>
    </row>
    <row r="117" spans="1:6">
      <c r="A117" t="s">
        <v>243</v>
      </c>
      <c r="B117" t="s">
        <v>142</v>
      </c>
      <c r="C117" t="s">
        <v>244</v>
      </c>
      <c r="D117" t="s">
        <v>144</v>
      </c>
      <c r="F117" t="s">
        <v>145</v>
      </c>
    </row>
    <row r="118" spans="1:6">
      <c r="A118" t="s">
        <v>243</v>
      </c>
      <c r="B118" t="s">
        <v>142</v>
      </c>
      <c r="C118" t="s">
        <v>245</v>
      </c>
      <c r="D118" t="s">
        <v>144</v>
      </c>
      <c r="F118" t="s">
        <v>145</v>
      </c>
    </row>
    <row r="119" spans="1:6">
      <c r="A119" t="s">
        <v>243</v>
      </c>
      <c r="B119" t="s">
        <v>142</v>
      </c>
      <c r="C119" t="s">
        <v>246</v>
      </c>
      <c r="D119" t="s">
        <v>144</v>
      </c>
      <c r="F119" t="s">
        <v>145</v>
      </c>
    </row>
    <row r="120" spans="1:6">
      <c r="A120" t="s">
        <v>243</v>
      </c>
      <c r="B120" t="s">
        <v>142</v>
      </c>
      <c r="C120" t="s">
        <v>247</v>
      </c>
      <c r="D120" t="s">
        <v>144</v>
      </c>
      <c r="F120" t="s">
        <v>145</v>
      </c>
    </row>
    <row r="121" spans="1:6">
      <c r="A121" t="s">
        <v>243</v>
      </c>
      <c r="B121" t="s">
        <v>149</v>
      </c>
      <c r="C121" t="s">
        <v>239</v>
      </c>
      <c r="D121" t="s">
        <v>164</v>
      </c>
      <c r="F121" t="s">
        <v>145</v>
      </c>
    </row>
    <row r="122" spans="1:6">
      <c r="A122" t="s">
        <v>243</v>
      </c>
      <c r="B122" t="s">
        <v>149</v>
      </c>
      <c r="C122" t="s">
        <v>248</v>
      </c>
      <c r="D122" t="s">
        <v>144</v>
      </c>
      <c r="F122" t="s">
        <v>145</v>
      </c>
    </row>
    <row r="123" spans="1:6">
      <c r="A123" t="s">
        <v>243</v>
      </c>
      <c r="B123" t="s">
        <v>149</v>
      </c>
      <c r="C123" t="s">
        <v>249</v>
      </c>
      <c r="D123" t="s">
        <v>144</v>
      </c>
      <c r="F123" t="s">
        <v>145</v>
      </c>
    </row>
    <row r="124" spans="1:6">
      <c r="A124" t="s">
        <v>243</v>
      </c>
      <c r="B124" t="s">
        <v>149</v>
      </c>
      <c r="C124" t="s">
        <v>250</v>
      </c>
      <c r="D124" t="s">
        <v>144</v>
      </c>
      <c r="F124" t="s">
        <v>145</v>
      </c>
    </row>
    <row r="125" spans="1:6">
      <c r="A125" t="s">
        <v>243</v>
      </c>
      <c r="B125" t="s">
        <v>149</v>
      </c>
      <c r="C125" t="s">
        <v>251</v>
      </c>
      <c r="D125" t="s">
        <v>144</v>
      </c>
      <c r="F125" t="s">
        <v>145</v>
      </c>
    </row>
    <row r="126" spans="1:6">
      <c r="A126" t="s">
        <v>243</v>
      </c>
      <c r="B126" t="s">
        <v>153</v>
      </c>
      <c r="C126" t="s">
        <v>242</v>
      </c>
      <c r="D126" t="s">
        <v>164</v>
      </c>
      <c r="F126" t="s">
        <v>145</v>
      </c>
    </row>
    <row r="127" spans="1:6">
      <c r="A127" t="s">
        <v>243</v>
      </c>
      <c r="B127" t="s">
        <v>153</v>
      </c>
      <c r="C127" t="s">
        <v>252</v>
      </c>
      <c r="D127" t="s">
        <v>144</v>
      </c>
      <c r="F127" t="s">
        <v>145</v>
      </c>
    </row>
    <row r="128" spans="1:6">
      <c r="A128" t="s">
        <v>243</v>
      </c>
      <c r="B128" t="s">
        <v>153</v>
      </c>
      <c r="C128" t="s">
        <v>253</v>
      </c>
      <c r="D128" t="s">
        <v>144</v>
      </c>
      <c r="F128" t="s">
        <v>145</v>
      </c>
    </row>
    <row r="129" spans="1:6">
      <c r="A129" t="s">
        <v>243</v>
      </c>
      <c r="B129" t="s">
        <v>153</v>
      </c>
      <c r="C129" t="s">
        <v>254</v>
      </c>
      <c r="D129" t="s">
        <v>144</v>
      </c>
      <c r="F129" t="s">
        <v>145</v>
      </c>
    </row>
    <row r="130" spans="1:6">
      <c r="A130" t="s">
        <v>243</v>
      </c>
      <c r="B130" t="s">
        <v>153</v>
      </c>
      <c r="C130" t="s">
        <v>255</v>
      </c>
      <c r="D130" t="s">
        <v>144</v>
      </c>
      <c r="F130" t="s">
        <v>145</v>
      </c>
    </row>
    <row r="131" spans="1:6">
      <c r="A131" t="s">
        <v>243</v>
      </c>
      <c r="B131" t="s">
        <v>153</v>
      </c>
      <c r="C131" t="s">
        <v>256</v>
      </c>
      <c r="D131" t="s">
        <v>144</v>
      </c>
      <c r="F131" t="s">
        <v>145</v>
      </c>
    </row>
    <row r="132" spans="1:6">
      <c r="A132" t="s">
        <v>243</v>
      </c>
      <c r="B132" t="s">
        <v>158</v>
      </c>
      <c r="C132" t="s">
        <v>257</v>
      </c>
      <c r="D132" t="s">
        <v>160</v>
      </c>
      <c r="F132" t="s">
        <v>145</v>
      </c>
    </row>
    <row r="133" spans="1:6">
      <c r="A133" t="s">
        <v>243</v>
      </c>
      <c r="B133" t="s">
        <v>158</v>
      </c>
      <c r="C133" t="s">
        <v>218</v>
      </c>
      <c r="D133" t="s">
        <v>219</v>
      </c>
      <c r="F133" t="s">
        <v>145</v>
      </c>
    </row>
    <row r="134" spans="1:6">
      <c r="A134" t="s">
        <v>243</v>
      </c>
      <c r="B134" t="s">
        <v>158</v>
      </c>
      <c r="C134" t="s">
        <v>189</v>
      </c>
      <c r="D134" t="s">
        <v>217</v>
      </c>
      <c r="F134" t="s">
        <v>145</v>
      </c>
    </row>
    <row r="135" spans="1:6">
      <c r="A135" t="s">
        <v>258</v>
      </c>
      <c r="B135" t="s">
        <v>142</v>
      </c>
      <c r="C135" t="s">
        <v>235</v>
      </c>
      <c r="D135" t="s">
        <v>164</v>
      </c>
      <c r="F135" t="s">
        <v>145</v>
      </c>
    </row>
    <row r="136" spans="1:6">
      <c r="A136" t="s">
        <v>258</v>
      </c>
      <c r="B136" t="s">
        <v>142</v>
      </c>
      <c r="C136" t="s">
        <v>259</v>
      </c>
      <c r="D136" t="s">
        <v>144</v>
      </c>
      <c r="F136" t="s">
        <v>145</v>
      </c>
    </row>
    <row r="137" spans="1:6">
      <c r="A137" t="s">
        <v>258</v>
      </c>
      <c r="B137" t="s">
        <v>142</v>
      </c>
      <c r="C137" t="s">
        <v>260</v>
      </c>
      <c r="D137" t="s">
        <v>144</v>
      </c>
      <c r="F137" t="s">
        <v>145</v>
      </c>
    </row>
    <row r="138" spans="1:6">
      <c r="A138" t="s">
        <v>258</v>
      </c>
      <c r="B138" t="s">
        <v>142</v>
      </c>
      <c r="C138" t="s">
        <v>261</v>
      </c>
      <c r="D138" t="s">
        <v>144</v>
      </c>
      <c r="F138" t="s">
        <v>145</v>
      </c>
    </row>
    <row r="139" spans="1:6">
      <c r="A139" t="s">
        <v>258</v>
      </c>
      <c r="B139" t="s">
        <v>142</v>
      </c>
      <c r="C139" t="s">
        <v>262</v>
      </c>
      <c r="D139" t="s">
        <v>144</v>
      </c>
      <c r="F139" t="s">
        <v>145</v>
      </c>
    </row>
    <row r="140" spans="1:6">
      <c r="A140" t="s">
        <v>258</v>
      </c>
      <c r="B140" t="s">
        <v>149</v>
      </c>
      <c r="C140" t="s">
        <v>238</v>
      </c>
      <c r="D140" t="s">
        <v>164</v>
      </c>
      <c r="F140" t="s">
        <v>145</v>
      </c>
    </row>
    <row r="141" spans="1:6">
      <c r="A141" t="s">
        <v>258</v>
      </c>
      <c r="B141" t="s">
        <v>149</v>
      </c>
      <c r="C141" t="s">
        <v>263</v>
      </c>
      <c r="D141" t="s">
        <v>144</v>
      </c>
      <c r="F141" t="s">
        <v>145</v>
      </c>
    </row>
    <row r="142" spans="1:6">
      <c r="A142" t="s">
        <v>258</v>
      </c>
      <c r="B142" t="s">
        <v>149</v>
      </c>
      <c r="C142" t="s">
        <v>264</v>
      </c>
      <c r="D142" t="s">
        <v>144</v>
      </c>
      <c r="F142" t="s">
        <v>145</v>
      </c>
    </row>
    <row r="143" spans="1:6">
      <c r="A143" t="s">
        <v>258</v>
      </c>
      <c r="B143" t="s">
        <v>149</v>
      </c>
      <c r="C143" t="s">
        <v>265</v>
      </c>
      <c r="D143" t="s">
        <v>144</v>
      </c>
      <c r="F143" t="s">
        <v>145</v>
      </c>
    </row>
    <row r="144" spans="1:6">
      <c r="A144" t="s">
        <v>258</v>
      </c>
      <c r="B144" t="s">
        <v>149</v>
      </c>
      <c r="C144" t="s">
        <v>266</v>
      </c>
      <c r="D144" t="s">
        <v>144</v>
      </c>
      <c r="F144" t="s">
        <v>145</v>
      </c>
    </row>
    <row r="145" spans="1:6">
      <c r="A145" t="s">
        <v>258</v>
      </c>
      <c r="B145" t="s">
        <v>149</v>
      </c>
      <c r="C145" t="s">
        <v>267</v>
      </c>
      <c r="D145" t="s">
        <v>144</v>
      </c>
      <c r="F145" t="s">
        <v>145</v>
      </c>
    </row>
    <row r="146" spans="1:6">
      <c r="A146" t="s">
        <v>258</v>
      </c>
      <c r="B146" t="s">
        <v>149</v>
      </c>
      <c r="C146" t="s">
        <v>268</v>
      </c>
      <c r="D146" t="s">
        <v>144</v>
      </c>
      <c r="F146" t="s">
        <v>145</v>
      </c>
    </row>
    <row r="147" spans="1:6">
      <c r="A147" t="s">
        <v>258</v>
      </c>
      <c r="B147" t="s">
        <v>149</v>
      </c>
      <c r="C147" t="s">
        <v>269</v>
      </c>
      <c r="D147" t="s">
        <v>144</v>
      </c>
      <c r="F147" t="s">
        <v>145</v>
      </c>
    </row>
    <row r="148" spans="1:6">
      <c r="A148" t="s">
        <v>258</v>
      </c>
      <c r="B148" t="s">
        <v>149</v>
      </c>
      <c r="C148" t="s">
        <v>270</v>
      </c>
      <c r="D148" t="s">
        <v>144</v>
      </c>
      <c r="F148" t="s">
        <v>145</v>
      </c>
    </row>
    <row r="149" spans="1:6">
      <c r="A149" t="s">
        <v>258</v>
      </c>
      <c r="B149" t="s">
        <v>153</v>
      </c>
      <c r="C149" t="s">
        <v>255</v>
      </c>
      <c r="D149" t="s">
        <v>164</v>
      </c>
      <c r="F149" t="s">
        <v>145</v>
      </c>
    </row>
    <row r="150" spans="1:6">
      <c r="A150" t="s">
        <v>258</v>
      </c>
      <c r="B150" t="s">
        <v>153</v>
      </c>
      <c r="C150" t="s">
        <v>271</v>
      </c>
      <c r="D150" t="s">
        <v>144</v>
      </c>
      <c r="F150" t="s">
        <v>145</v>
      </c>
    </row>
    <row r="151" spans="1:6">
      <c r="A151" t="s">
        <v>258</v>
      </c>
      <c r="B151" t="s">
        <v>153</v>
      </c>
      <c r="C151" t="s">
        <v>272</v>
      </c>
      <c r="D151" t="s">
        <v>144</v>
      </c>
      <c r="F151" t="s">
        <v>145</v>
      </c>
    </row>
    <row r="152" spans="1:6">
      <c r="A152" t="s">
        <v>258</v>
      </c>
      <c r="B152" t="s">
        <v>153</v>
      </c>
      <c r="C152" t="s">
        <v>273</v>
      </c>
      <c r="D152" t="s">
        <v>144</v>
      </c>
      <c r="F152" t="s">
        <v>145</v>
      </c>
    </row>
    <row r="153" spans="1:6">
      <c r="A153" t="s">
        <v>258</v>
      </c>
      <c r="B153" t="s">
        <v>153</v>
      </c>
      <c r="C153" t="s">
        <v>274</v>
      </c>
      <c r="D153" t="s">
        <v>144</v>
      </c>
      <c r="F153" t="s">
        <v>145</v>
      </c>
    </row>
    <row r="154" spans="1:6">
      <c r="A154" t="s">
        <v>258</v>
      </c>
      <c r="B154" t="s">
        <v>158</v>
      </c>
      <c r="C154" t="s">
        <v>257</v>
      </c>
      <c r="D154" t="s">
        <v>160</v>
      </c>
      <c r="F154" t="s">
        <v>145</v>
      </c>
    </row>
    <row r="155" spans="1:6">
      <c r="A155" t="s">
        <v>258</v>
      </c>
      <c r="B155" t="s">
        <v>158</v>
      </c>
      <c r="C155" t="s">
        <v>218</v>
      </c>
      <c r="D155" t="s">
        <v>219</v>
      </c>
      <c r="F155" t="s">
        <v>145</v>
      </c>
    </row>
    <row r="156" spans="1:6">
      <c r="A156" t="s">
        <v>258</v>
      </c>
      <c r="B156" t="s">
        <v>158</v>
      </c>
      <c r="C156" t="s">
        <v>242</v>
      </c>
      <c r="D156" t="s">
        <v>217</v>
      </c>
      <c r="F156" t="s">
        <v>145</v>
      </c>
    </row>
    <row r="157" spans="1:6">
      <c r="A157" t="s">
        <v>258</v>
      </c>
      <c r="B157" t="s">
        <v>158</v>
      </c>
      <c r="C157" t="s">
        <v>275</v>
      </c>
      <c r="D157" t="s">
        <v>217</v>
      </c>
      <c r="F157" t="s">
        <v>145</v>
      </c>
    </row>
    <row r="158" spans="1:6">
      <c r="A158" t="s">
        <v>276</v>
      </c>
      <c r="B158" t="s">
        <v>142</v>
      </c>
      <c r="C158" t="s">
        <v>260</v>
      </c>
      <c r="D158" t="s">
        <v>164</v>
      </c>
      <c r="F158" t="s">
        <v>145</v>
      </c>
    </row>
    <row r="159" spans="1:6">
      <c r="A159" t="s">
        <v>276</v>
      </c>
      <c r="B159" t="s">
        <v>142</v>
      </c>
      <c r="C159" t="s">
        <v>277</v>
      </c>
      <c r="D159" t="s">
        <v>144</v>
      </c>
      <c r="F159" t="s">
        <v>145</v>
      </c>
    </row>
    <row r="160" spans="1:6">
      <c r="A160" t="s">
        <v>276</v>
      </c>
      <c r="B160" t="s">
        <v>142</v>
      </c>
      <c r="C160" t="s">
        <v>278</v>
      </c>
      <c r="D160" t="s">
        <v>144</v>
      </c>
      <c r="F160" t="s">
        <v>145</v>
      </c>
    </row>
    <row r="161" spans="1:6">
      <c r="A161" t="s">
        <v>276</v>
      </c>
      <c r="B161" t="s">
        <v>142</v>
      </c>
      <c r="C161" t="s">
        <v>279</v>
      </c>
      <c r="D161" t="s">
        <v>144</v>
      </c>
      <c r="F161" t="s">
        <v>145</v>
      </c>
    </row>
    <row r="162" spans="1:6">
      <c r="A162" t="s">
        <v>276</v>
      </c>
      <c r="B162" t="s">
        <v>142</v>
      </c>
      <c r="C162" t="s">
        <v>280</v>
      </c>
      <c r="D162" t="s">
        <v>144</v>
      </c>
      <c r="F162" t="s">
        <v>145</v>
      </c>
    </row>
    <row r="163" spans="1:6">
      <c r="A163" t="s">
        <v>276</v>
      </c>
      <c r="B163" t="s">
        <v>142</v>
      </c>
      <c r="C163" t="s">
        <v>281</v>
      </c>
      <c r="D163" t="s">
        <v>144</v>
      </c>
      <c r="F163" t="s">
        <v>145</v>
      </c>
    </row>
    <row r="164" spans="1:6">
      <c r="A164" t="s">
        <v>276</v>
      </c>
      <c r="B164" t="s">
        <v>149</v>
      </c>
      <c r="C164" t="s">
        <v>245</v>
      </c>
      <c r="D164" t="s">
        <v>164</v>
      </c>
      <c r="F164" t="s">
        <v>145</v>
      </c>
    </row>
    <row r="165" spans="1:6">
      <c r="A165" t="s">
        <v>276</v>
      </c>
      <c r="B165" t="s">
        <v>149</v>
      </c>
      <c r="C165" t="s">
        <v>282</v>
      </c>
      <c r="D165" t="s">
        <v>144</v>
      </c>
      <c r="F165" t="s">
        <v>145</v>
      </c>
    </row>
    <row r="166" spans="1:6">
      <c r="A166" t="s">
        <v>276</v>
      </c>
      <c r="B166" t="s">
        <v>149</v>
      </c>
      <c r="C166" t="s">
        <v>283</v>
      </c>
      <c r="D166" t="s">
        <v>144</v>
      </c>
      <c r="F166" t="s">
        <v>145</v>
      </c>
    </row>
    <row r="167" spans="1:6">
      <c r="A167" t="s">
        <v>276</v>
      </c>
      <c r="B167" t="s">
        <v>149</v>
      </c>
      <c r="C167" t="s">
        <v>284</v>
      </c>
      <c r="D167" t="s">
        <v>144</v>
      </c>
      <c r="F167" t="s">
        <v>145</v>
      </c>
    </row>
    <row r="168" spans="1:6">
      <c r="A168" t="s">
        <v>276</v>
      </c>
      <c r="B168" t="s">
        <v>149</v>
      </c>
      <c r="C168" t="s">
        <v>285</v>
      </c>
      <c r="D168" t="s">
        <v>144</v>
      </c>
      <c r="F168" t="s">
        <v>145</v>
      </c>
    </row>
    <row r="169" spans="1:6">
      <c r="A169" t="s">
        <v>276</v>
      </c>
      <c r="B169" t="s">
        <v>149</v>
      </c>
      <c r="C169" t="s">
        <v>286</v>
      </c>
      <c r="D169" t="s">
        <v>144</v>
      </c>
      <c r="F169" t="s">
        <v>145</v>
      </c>
    </row>
    <row r="170" spans="1:6">
      <c r="A170" t="s">
        <v>276</v>
      </c>
      <c r="B170" t="s">
        <v>149</v>
      </c>
      <c r="C170" t="s">
        <v>287</v>
      </c>
      <c r="D170" t="s">
        <v>144</v>
      </c>
      <c r="F170" t="s">
        <v>145</v>
      </c>
    </row>
    <row r="171" spans="1:6">
      <c r="A171" t="s">
        <v>276</v>
      </c>
      <c r="B171" t="s">
        <v>153</v>
      </c>
      <c r="C171" t="s">
        <v>272</v>
      </c>
      <c r="D171" t="s">
        <v>164</v>
      </c>
      <c r="F171" t="s">
        <v>145</v>
      </c>
    </row>
    <row r="172" spans="1:6">
      <c r="A172" t="s">
        <v>276</v>
      </c>
      <c r="B172" t="s">
        <v>153</v>
      </c>
      <c r="C172" t="s">
        <v>288</v>
      </c>
      <c r="D172" t="s">
        <v>144</v>
      </c>
      <c r="F172" t="s">
        <v>145</v>
      </c>
    </row>
    <row r="173" spans="1:6">
      <c r="A173" t="s">
        <v>276</v>
      </c>
      <c r="B173" t="s">
        <v>153</v>
      </c>
      <c r="C173" t="s">
        <v>289</v>
      </c>
      <c r="D173" t="s">
        <v>144</v>
      </c>
      <c r="F173" t="s">
        <v>145</v>
      </c>
    </row>
    <row r="174" spans="1:6">
      <c r="A174" t="s">
        <v>276</v>
      </c>
      <c r="B174" t="s">
        <v>153</v>
      </c>
      <c r="C174" t="s">
        <v>290</v>
      </c>
      <c r="D174" t="s">
        <v>144</v>
      </c>
      <c r="F174" t="s">
        <v>145</v>
      </c>
    </row>
    <row r="175" spans="1:6">
      <c r="A175" t="s">
        <v>276</v>
      </c>
      <c r="B175" t="s">
        <v>153</v>
      </c>
      <c r="C175" t="s">
        <v>291</v>
      </c>
      <c r="D175" t="s">
        <v>144</v>
      </c>
      <c r="F175" t="s">
        <v>145</v>
      </c>
    </row>
    <row r="176" spans="1:6">
      <c r="A176" t="s">
        <v>276</v>
      </c>
      <c r="B176" t="s">
        <v>158</v>
      </c>
      <c r="C176" t="s">
        <v>257</v>
      </c>
      <c r="D176" t="s">
        <v>160</v>
      </c>
      <c r="F176" t="s">
        <v>145</v>
      </c>
    </row>
    <row r="177" spans="1:6">
      <c r="A177" t="s">
        <v>276</v>
      </c>
      <c r="B177" t="s">
        <v>158</v>
      </c>
      <c r="C177" t="s">
        <v>292</v>
      </c>
      <c r="D177" t="s">
        <v>219</v>
      </c>
      <c r="F177" t="s">
        <v>145</v>
      </c>
    </row>
    <row r="178" spans="1:6">
      <c r="A178" t="s">
        <v>276</v>
      </c>
      <c r="B178" t="s">
        <v>158</v>
      </c>
      <c r="C178" t="s">
        <v>242</v>
      </c>
      <c r="D178" t="s">
        <v>217</v>
      </c>
      <c r="F178" t="s">
        <v>145</v>
      </c>
    </row>
    <row r="179" spans="1:6">
      <c r="A179" t="s">
        <v>276</v>
      </c>
      <c r="B179" t="s">
        <v>158</v>
      </c>
      <c r="C179" t="s">
        <v>194</v>
      </c>
      <c r="D179" t="s">
        <v>217</v>
      </c>
      <c r="F179" t="s">
        <v>145</v>
      </c>
    </row>
    <row r="180" spans="1:6">
      <c r="A180" t="s">
        <v>293</v>
      </c>
      <c r="B180" t="s">
        <v>142</v>
      </c>
      <c r="C180" t="s">
        <v>252</v>
      </c>
      <c r="D180" t="s">
        <v>164</v>
      </c>
      <c r="F180" t="s">
        <v>145</v>
      </c>
    </row>
    <row r="181" spans="1:6">
      <c r="A181" t="s">
        <v>293</v>
      </c>
      <c r="B181" t="s">
        <v>142</v>
      </c>
      <c r="C181" t="s">
        <v>294</v>
      </c>
      <c r="D181" t="s">
        <v>144</v>
      </c>
      <c r="F181" t="s">
        <v>145</v>
      </c>
    </row>
    <row r="182" spans="1:6">
      <c r="A182" t="s">
        <v>293</v>
      </c>
      <c r="B182" t="s">
        <v>142</v>
      </c>
      <c r="C182" t="s">
        <v>295</v>
      </c>
      <c r="D182" t="s">
        <v>144</v>
      </c>
      <c r="F182" t="s">
        <v>145</v>
      </c>
    </row>
    <row r="183" spans="1:6">
      <c r="A183" t="s">
        <v>293</v>
      </c>
      <c r="B183" t="s">
        <v>142</v>
      </c>
      <c r="C183" t="s">
        <v>296</v>
      </c>
      <c r="D183" t="s">
        <v>144</v>
      </c>
      <c r="F183" t="s">
        <v>145</v>
      </c>
    </row>
    <row r="184" spans="1:6">
      <c r="A184" t="s">
        <v>293</v>
      </c>
      <c r="B184" t="s">
        <v>142</v>
      </c>
      <c r="C184" t="s">
        <v>297</v>
      </c>
      <c r="D184" t="s">
        <v>144</v>
      </c>
      <c r="F184" t="s">
        <v>145</v>
      </c>
    </row>
    <row r="185" spans="1:6">
      <c r="A185" t="s">
        <v>293</v>
      </c>
      <c r="B185" t="s">
        <v>149</v>
      </c>
      <c r="C185" t="s">
        <v>261</v>
      </c>
      <c r="D185" t="s">
        <v>164</v>
      </c>
      <c r="F185" t="s">
        <v>145</v>
      </c>
    </row>
    <row r="186" spans="1:6">
      <c r="A186" t="s">
        <v>293</v>
      </c>
      <c r="B186" t="s">
        <v>149</v>
      </c>
      <c r="C186" t="s">
        <v>298</v>
      </c>
      <c r="D186" t="s">
        <v>144</v>
      </c>
      <c r="F186" t="s">
        <v>145</v>
      </c>
    </row>
    <row r="187" spans="1:6">
      <c r="A187" t="s">
        <v>293</v>
      </c>
      <c r="B187" t="s">
        <v>149</v>
      </c>
      <c r="C187" t="s">
        <v>299</v>
      </c>
      <c r="D187" t="s">
        <v>144</v>
      </c>
      <c r="F187" t="s">
        <v>145</v>
      </c>
    </row>
    <row r="188" spans="1:6">
      <c r="A188" t="s">
        <v>293</v>
      </c>
      <c r="B188" t="s">
        <v>149</v>
      </c>
      <c r="C188" t="s">
        <v>300</v>
      </c>
      <c r="D188" t="s">
        <v>144</v>
      </c>
      <c r="F188" t="s">
        <v>145</v>
      </c>
    </row>
    <row r="189" spans="1:6">
      <c r="A189" t="s">
        <v>293</v>
      </c>
      <c r="B189" t="s">
        <v>149</v>
      </c>
      <c r="C189" t="s">
        <v>301</v>
      </c>
      <c r="D189" t="s">
        <v>144</v>
      </c>
      <c r="F189" t="s">
        <v>145</v>
      </c>
    </row>
    <row r="190" spans="1:6">
      <c r="A190" t="s">
        <v>293</v>
      </c>
      <c r="B190" t="s">
        <v>149</v>
      </c>
      <c r="C190" t="s">
        <v>302</v>
      </c>
      <c r="D190" t="s">
        <v>144</v>
      </c>
      <c r="F190" t="s">
        <v>145</v>
      </c>
    </row>
    <row r="191" spans="1:6">
      <c r="A191" t="s">
        <v>293</v>
      </c>
      <c r="B191" t="s">
        <v>149</v>
      </c>
      <c r="C191" t="s">
        <v>303</v>
      </c>
      <c r="D191" t="s">
        <v>144</v>
      </c>
      <c r="F191" t="s">
        <v>145</v>
      </c>
    </row>
    <row r="192" spans="1:6">
      <c r="A192" t="s">
        <v>293</v>
      </c>
      <c r="B192" t="s">
        <v>149</v>
      </c>
      <c r="C192" t="s">
        <v>304</v>
      </c>
      <c r="D192" t="s">
        <v>144</v>
      </c>
      <c r="F192" t="s">
        <v>145</v>
      </c>
    </row>
    <row r="193" spans="1:6">
      <c r="A193" t="s">
        <v>293</v>
      </c>
      <c r="B193" t="s">
        <v>149</v>
      </c>
      <c r="C193" t="s">
        <v>305</v>
      </c>
      <c r="D193" t="s">
        <v>144</v>
      </c>
      <c r="F193" t="s">
        <v>145</v>
      </c>
    </row>
    <row r="194" spans="1:6">
      <c r="A194" t="s">
        <v>293</v>
      </c>
      <c r="B194" t="s">
        <v>149</v>
      </c>
      <c r="C194" t="s">
        <v>306</v>
      </c>
      <c r="D194" t="s">
        <v>144</v>
      </c>
      <c r="F194" t="s">
        <v>145</v>
      </c>
    </row>
    <row r="195" spans="1:6">
      <c r="A195" t="s">
        <v>293</v>
      </c>
      <c r="B195" t="s">
        <v>153</v>
      </c>
      <c r="C195" t="s">
        <v>262</v>
      </c>
      <c r="D195" t="s">
        <v>164</v>
      </c>
      <c r="F195" t="s">
        <v>145</v>
      </c>
    </row>
    <row r="196" spans="1:6">
      <c r="A196" t="s">
        <v>293</v>
      </c>
      <c r="B196" t="s">
        <v>153</v>
      </c>
      <c r="C196" t="s">
        <v>307</v>
      </c>
      <c r="D196" t="s">
        <v>144</v>
      </c>
      <c r="F196" t="s">
        <v>145</v>
      </c>
    </row>
    <row r="197" spans="1:6">
      <c r="A197" t="s">
        <v>293</v>
      </c>
      <c r="B197" t="s">
        <v>153</v>
      </c>
      <c r="C197" t="s">
        <v>308</v>
      </c>
      <c r="D197" t="s">
        <v>144</v>
      </c>
      <c r="F197" t="s">
        <v>145</v>
      </c>
    </row>
    <row r="198" spans="1:6">
      <c r="A198" t="s">
        <v>293</v>
      </c>
      <c r="B198" t="s">
        <v>153</v>
      </c>
      <c r="C198" t="s">
        <v>309</v>
      </c>
      <c r="D198" t="s">
        <v>144</v>
      </c>
      <c r="F198" t="s">
        <v>145</v>
      </c>
    </row>
    <row r="199" spans="1:6">
      <c r="A199" t="s">
        <v>293</v>
      </c>
      <c r="B199" t="s">
        <v>153</v>
      </c>
      <c r="C199" t="s">
        <v>310</v>
      </c>
      <c r="D199" t="s">
        <v>144</v>
      </c>
      <c r="F199" t="s">
        <v>145</v>
      </c>
    </row>
    <row r="200" spans="1:6">
      <c r="A200" t="s">
        <v>293</v>
      </c>
      <c r="B200" t="s">
        <v>311</v>
      </c>
      <c r="C200" t="s">
        <v>282</v>
      </c>
      <c r="D200" t="s">
        <v>164</v>
      </c>
      <c r="F200" t="s">
        <v>145</v>
      </c>
    </row>
    <row r="201" spans="1:6">
      <c r="A201" t="s">
        <v>293</v>
      </c>
      <c r="B201" t="s">
        <v>311</v>
      </c>
      <c r="C201" t="s">
        <v>312</v>
      </c>
      <c r="D201" t="s">
        <v>144</v>
      </c>
      <c r="F201" t="s">
        <v>145</v>
      </c>
    </row>
    <row r="202" spans="1:6">
      <c r="A202" t="s">
        <v>293</v>
      </c>
      <c r="B202" t="s">
        <v>311</v>
      </c>
      <c r="C202" t="s">
        <v>313</v>
      </c>
      <c r="D202" t="s">
        <v>144</v>
      </c>
      <c r="F202" t="s">
        <v>145</v>
      </c>
    </row>
    <row r="203" spans="1:6">
      <c r="A203" t="s">
        <v>293</v>
      </c>
      <c r="B203" t="s">
        <v>311</v>
      </c>
      <c r="C203" t="s">
        <v>314</v>
      </c>
      <c r="D203" t="s">
        <v>144</v>
      </c>
      <c r="F203" t="s">
        <v>145</v>
      </c>
    </row>
    <row r="204" spans="1:6">
      <c r="A204" t="s">
        <v>293</v>
      </c>
      <c r="B204" t="s">
        <v>311</v>
      </c>
      <c r="C204" t="s">
        <v>315</v>
      </c>
      <c r="D204" t="s">
        <v>144</v>
      </c>
      <c r="F204" t="s">
        <v>145</v>
      </c>
    </row>
    <row r="205" spans="1:6">
      <c r="A205" t="s">
        <v>293</v>
      </c>
      <c r="B205" t="s">
        <v>311</v>
      </c>
      <c r="C205" t="s">
        <v>316</v>
      </c>
      <c r="D205" t="s">
        <v>144</v>
      </c>
      <c r="F205" t="s">
        <v>145</v>
      </c>
    </row>
    <row r="206" spans="1:6">
      <c r="A206" t="s">
        <v>293</v>
      </c>
      <c r="B206" t="s">
        <v>311</v>
      </c>
      <c r="C206" t="s">
        <v>317</v>
      </c>
      <c r="D206" t="s">
        <v>144</v>
      </c>
      <c r="F206" t="s">
        <v>145</v>
      </c>
    </row>
    <row r="207" spans="1:6">
      <c r="A207" t="s">
        <v>293</v>
      </c>
      <c r="B207" t="s">
        <v>158</v>
      </c>
      <c r="C207" t="s">
        <v>257</v>
      </c>
      <c r="D207" t="s">
        <v>160</v>
      </c>
      <c r="F207" t="s">
        <v>145</v>
      </c>
    </row>
    <row r="208" spans="1:6">
      <c r="A208" t="s">
        <v>293</v>
      </c>
      <c r="B208" t="s">
        <v>158</v>
      </c>
      <c r="C208" t="s">
        <v>292</v>
      </c>
      <c r="D208" t="s">
        <v>219</v>
      </c>
      <c r="F208" t="s">
        <v>145</v>
      </c>
    </row>
    <row r="209" spans="1:6">
      <c r="A209" t="s">
        <v>293</v>
      </c>
      <c r="B209" t="s">
        <v>158</v>
      </c>
      <c r="C209" t="s">
        <v>260</v>
      </c>
      <c r="D209" t="s">
        <v>217</v>
      </c>
      <c r="F209" t="s">
        <v>145</v>
      </c>
    </row>
    <row r="210" spans="1:6">
      <c r="A210" t="s">
        <v>293</v>
      </c>
      <c r="B210" t="s">
        <v>158</v>
      </c>
      <c r="C210" t="s">
        <v>194</v>
      </c>
      <c r="D210" t="s">
        <v>217</v>
      </c>
      <c r="F210" t="s">
        <v>145</v>
      </c>
    </row>
    <row r="211" spans="1:6">
      <c r="A211" t="s">
        <v>293</v>
      </c>
      <c r="B211" t="s">
        <v>158</v>
      </c>
      <c r="C211" t="s">
        <v>250</v>
      </c>
      <c r="D211" t="s">
        <v>217</v>
      </c>
      <c r="F211" t="s">
        <v>145</v>
      </c>
    </row>
    <row r="212" spans="1:6">
      <c r="A212" t="s">
        <v>318</v>
      </c>
      <c r="B212" t="s">
        <v>142</v>
      </c>
      <c r="C212" t="s">
        <v>295</v>
      </c>
      <c r="D212" t="s">
        <v>164</v>
      </c>
      <c r="F212" t="s">
        <v>145</v>
      </c>
    </row>
    <row r="213" spans="1:6">
      <c r="A213" t="s">
        <v>318</v>
      </c>
      <c r="B213" t="s">
        <v>142</v>
      </c>
      <c r="C213" t="s">
        <v>319</v>
      </c>
      <c r="D213" t="s">
        <v>144</v>
      </c>
      <c r="F213" t="s">
        <v>145</v>
      </c>
    </row>
    <row r="214" spans="1:6">
      <c r="A214" t="s">
        <v>318</v>
      </c>
      <c r="B214" t="s">
        <v>142</v>
      </c>
      <c r="C214" t="s">
        <v>320</v>
      </c>
      <c r="D214" t="s">
        <v>144</v>
      </c>
      <c r="F214" t="s">
        <v>145</v>
      </c>
    </row>
    <row r="215" spans="1:6">
      <c r="A215" t="s">
        <v>318</v>
      </c>
      <c r="B215" t="s">
        <v>142</v>
      </c>
      <c r="C215" t="s">
        <v>321</v>
      </c>
      <c r="D215" t="s">
        <v>144</v>
      </c>
      <c r="F215" t="s">
        <v>145</v>
      </c>
    </row>
    <row r="216" spans="1:6">
      <c r="A216" t="s">
        <v>318</v>
      </c>
      <c r="B216" t="s">
        <v>142</v>
      </c>
      <c r="C216" t="s">
        <v>322</v>
      </c>
      <c r="D216" t="s">
        <v>144</v>
      </c>
      <c r="F216" t="s">
        <v>145</v>
      </c>
    </row>
    <row r="217" spans="1:6">
      <c r="A217" t="s">
        <v>318</v>
      </c>
      <c r="B217" t="s">
        <v>142</v>
      </c>
      <c r="C217" t="s">
        <v>323</v>
      </c>
      <c r="D217" t="s">
        <v>144</v>
      </c>
      <c r="F217" t="s">
        <v>145</v>
      </c>
    </row>
    <row r="218" spans="1:6">
      <c r="A218" t="s">
        <v>318</v>
      </c>
      <c r="B218" t="s">
        <v>149</v>
      </c>
      <c r="C218" t="s">
        <v>279</v>
      </c>
      <c r="D218" t="s">
        <v>164</v>
      </c>
      <c r="F218" t="s">
        <v>145</v>
      </c>
    </row>
    <row r="219" spans="1:6">
      <c r="A219" t="s">
        <v>318</v>
      </c>
      <c r="B219" t="s">
        <v>149</v>
      </c>
      <c r="C219" t="s">
        <v>324</v>
      </c>
      <c r="D219" t="s">
        <v>144</v>
      </c>
      <c r="F219" t="s">
        <v>145</v>
      </c>
    </row>
    <row r="220" spans="1:6">
      <c r="A220" t="s">
        <v>318</v>
      </c>
      <c r="B220" t="s">
        <v>149</v>
      </c>
      <c r="C220" t="s">
        <v>325</v>
      </c>
      <c r="D220" t="s">
        <v>144</v>
      </c>
      <c r="F220" t="s">
        <v>145</v>
      </c>
    </row>
    <row r="221" spans="1:6">
      <c r="A221" t="s">
        <v>318</v>
      </c>
      <c r="B221" t="s">
        <v>149</v>
      </c>
      <c r="C221" t="s">
        <v>326</v>
      </c>
      <c r="D221" t="s">
        <v>144</v>
      </c>
      <c r="F221" t="s">
        <v>145</v>
      </c>
    </row>
    <row r="222" spans="1:6">
      <c r="A222" t="s">
        <v>318</v>
      </c>
      <c r="B222" t="s">
        <v>149</v>
      </c>
      <c r="C222" t="s">
        <v>327</v>
      </c>
      <c r="D222" t="s">
        <v>144</v>
      </c>
      <c r="F222" t="s">
        <v>145</v>
      </c>
    </row>
    <row r="223" spans="1:6">
      <c r="A223" t="s">
        <v>318</v>
      </c>
      <c r="B223" t="s">
        <v>153</v>
      </c>
      <c r="C223" t="s">
        <v>244</v>
      </c>
      <c r="D223" t="s">
        <v>164</v>
      </c>
      <c r="F223" t="s">
        <v>145</v>
      </c>
    </row>
    <row r="224" spans="1:6">
      <c r="A224" t="s">
        <v>318</v>
      </c>
      <c r="B224" t="s">
        <v>153</v>
      </c>
      <c r="C224" t="s">
        <v>312</v>
      </c>
      <c r="D224" t="s">
        <v>164</v>
      </c>
      <c r="F224" t="s">
        <v>145</v>
      </c>
    </row>
    <row r="225" spans="1:7">
      <c r="A225" t="s">
        <v>318</v>
      </c>
      <c r="B225" t="s">
        <v>153</v>
      </c>
      <c r="C225" t="s">
        <v>328</v>
      </c>
      <c r="D225" t="s">
        <v>144</v>
      </c>
      <c r="F225" t="s">
        <v>145</v>
      </c>
    </row>
    <row r="226" spans="1:7">
      <c r="A226" t="s">
        <v>318</v>
      </c>
      <c r="B226" t="s">
        <v>153</v>
      </c>
      <c r="C226" t="s">
        <v>329</v>
      </c>
      <c r="D226" t="s">
        <v>144</v>
      </c>
      <c r="F226" t="s">
        <v>145</v>
      </c>
    </row>
    <row r="227" spans="1:7">
      <c r="A227" t="s">
        <v>318</v>
      </c>
      <c r="B227" t="s">
        <v>153</v>
      </c>
      <c r="C227" t="s">
        <v>330</v>
      </c>
      <c r="D227" t="s">
        <v>144</v>
      </c>
      <c r="F227" t="s">
        <v>145</v>
      </c>
    </row>
    <row r="228" spans="1:7">
      <c r="A228" t="s">
        <v>318</v>
      </c>
      <c r="B228" t="s">
        <v>153</v>
      </c>
      <c r="C228" t="s">
        <v>331</v>
      </c>
      <c r="D228" t="s">
        <v>144</v>
      </c>
      <c r="F228" t="s">
        <v>145</v>
      </c>
    </row>
    <row r="229" spans="1:7">
      <c r="A229" t="s">
        <v>318</v>
      </c>
      <c r="B229" t="s">
        <v>153</v>
      </c>
      <c r="C229" t="s">
        <v>332</v>
      </c>
      <c r="D229" t="s">
        <v>144</v>
      </c>
      <c r="F229" t="s">
        <v>145</v>
      </c>
      <c r="G229" t="s">
        <v>333</v>
      </c>
    </row>
    <row r="230" spans="1:7">
      <c r="A230" t="s">
        <v>318</v>
      </c>
      <c r="B230" t="s">
        <v>153</v>
      </c>
      <c r="C230" t="s">
        <v>334</v>
      </c>
      <c r="D230" t="s">
        <v>144</v>
      </c>
      <c r="F230" t="s">
        <v>145</v>
      </c>
    </row>
    <row r="231" spans="1:7">
      <c r="A231" t="s">
        <v>318</v>
      </c>
      <c r="B231" t="s">
        <v>153</v>
      </c>
      <c r="C231" t="s">
        <v>335</v>
      </c>
      <c r="D231" t="s">
        <v>144</v>
      </c>
      <c r="F231" t="s">
        <v>145</v>
      </c>
    </row>
    <row r="232" spans="1:7">
      <c r="A232" t="s">
        <v>318</v>
      </c>
      <c r="B232" t="s">
        <v>153</v>
      </c>
      <c r="C232" t="s">
        <v>336</v>
      </c>
      <c r="D232" t="s">
        <v>144</v>
      </c>
      <c r="F232" t="s">
        <v>145</v>
      </c>
    </row>
    <row r="233" spans="1:7">
      <c r="A233" t="s">
        <v>318</v>
      </c>
      <c r="B233" t="s">
        <v>337</v>
      </c>
      <c r="C233" t="s">
        <v>338</v>
      </c>
      <c r="D233" t="s">
        <v>144</v>
      </c>
      <c r="F233" t="s">
        <v>337</v>
      </c>
    </row>
    <row r="234" spans="1:7">
      <c r="A234" t="s">
        <v>318</v>
      </c>
      <c r="B234" t="s">
        <v>337</v>
      </c>
      <c r="C234" t="s">
        <v>339</v>
      </c>
      <c r="D234" t="s">
        <v>144</v>
      </c>
      <c r="F234" t="s">
        <v>337</v>
      </c>
    </row>
    <row r="235" spans="1:7">
      <c r="A235" t="s">
        <v>318</v>
      </c>
      <c r="B235" t="s">
        <v>337</v>
      </c>
      <c r="C235" t="s">
        <v>340</v>
      </c>
      <c r="D235" t="s">
        <v>144</v>
      </c>
      <c r="F235" t="s">
        <v>337</v>
      </c>
    </row>
    <row r="236" spans="1:7">
      <c r="A236" t="s">
        <v>341</v>
      </c>
      <c r="B236" t="s">
        <v>158</v>
      </c>
      <c r="C236" t="s">
        <v>257</v>
      </c>
      <c r="D236" t="s">
        <v>160</v>
      </c>
      <c r="F236" t="s">
        <v>145</v>
      </c>
    </row>
    <row r="237" spans="1:7">
      <c r="A237" t="s">
        <v>341</v>
      </c>
      <c r="B237" t="s">
        <v>158</v>
      </c>
      <c r="C237" t="s">
        <v>292</v>
      </c>
      <c r="D237" t="s">
        <v>219</v>
      </c>
      <c r="F237" t="s">
        <v>145</v>
      </c>
    </row>
    <row r="238" spans="1:7">
      <c r="A238" t="s">
        <v>293</v>
      </c>
      <c r="B238" t="s">
        <v>158</v>
      </c>
      <c r="C238" t="s">
        <v>260</v>
      </c>
      <c r="D238" t="s">
        <v>217</v>
      </c>
      <c r="F238" t="s">
        <v>145</v>
      </c>
    </row>
    <row r="239" spans="1:7">
      <c r="A239" t="s">
        <v>293</v>
      </c>
      <c r="B239" t="s">
        <v>158</v>
      </c>
      <c r="C239" t="s">
        <v>194</v>
      </c>
      <c r="D239" t="s">
        <v>217</v>
      </c>
      <c r="F239" t="s">
        <v>145</v>
      </c>
    </row>
    <row r="240" spans="1:7">
      <c r="A240" t="s">
        <v>293</v>
      </c>
      <c r="B240" t="s">
        <v>158</v>
      </c>
      <c r="C240" t="s">
        <v>306</v>
      </c>
      <c r="D240" t="s">
        <v>217</v>
      </c>
      <c r="F240" t="s">
        <v>145</v>
      </c>
    </row>
    <row r="241" spans="1:6">
      <c r="A241" t="s">
        <v>341</v>
      </c>
      <c r="B241" t="s">
        <v>142</v>
      </c>
      <c r="C241" t="s">
        <v>297</v>
      </c>
      <c r="D241" t="s">
        <v>164</v>
      </c>
      <c r="F241" t="s">
        <v>145</v>
      </c>
    </row>
    <row r="242" spans="1:6">
      <c r="A242" t="s">
        <v>341</v>
      </c>
      <c r="B242" t="s">
        <v>142</v>
      </c>
      <c r="C242" t="s">
        <v>342</v>
      </c>
      <c r="D242" t="s">
        <v>144</v>
      </c>
      <c r="F242" t="s">
        <v>145</v>
      </c>
    </row>
    <row r="243" spans="1:6">
      <c r="A243" t="s">
        <v>341</v>
      </c>
      <c r="B243" t="s">
        <v>142</v>
      </c>
      <c r="C243" t="s">
        <v>343</v>
      </c>
      <c r="D243" t="s">
        <v>144</v>
      </c>
      <c r="F243" t="s">
        <v>145</v>
      </c>
    </row>
    <row r="244" spans="1:6">
      <c r="A244" t="s">
        <v>341</v>
      </c>
      <c r="B244" t="s">
        <v>142</v>
      </c>
      <c r="C244" t="s">
        <v>344</v>
      </c>
      <c r="D244" t="s">
        <v>144</v>
      </c>
      <c r="F244" t="s">
        <v>145</v>
      </c>
    </row>
    <row r="245" spans="1:6">
      <c r="A245" t="s">
        <v>341</v>
      </c>
      <c r="B245" t="s">
        <v>142</v>
      </c>
      <c r="C245" t="s">
        <v>345</v>
      </c>
      <c r="D245" t="s">
        <v>144</v>
      </c>
      <c r="F245" t="s">
        <v>145</v>
      </c>
    </row>
    <row r="246" spans="1:6">
      <c r="A246" t="s">
        <v>341</v>
      </c>
      <c r="B246" t="s">
        <v>149</v>
      </c>
      <c r="C246" t="s">
        <v>301</v>
      </c>
      <c r="D246" t="s">
        <v>164</v>
      </c>
      <c r="F246" t="s">
        <v>145</v>
      </c>
    </row>
    <row r="247" spans="1:6">
      <c r="A247" t="s">
        <v>341</v>
      </c>
      <c r="B247" t="s">
        <v>149</v>
      </c>
      <c r="C247" t="s">
        <v>331</v>
      </c>
      <c r="D247" t="s">
        <v>164</v>
      </c>
      <c r="F247" t="s">
        <v>145</v>
      </c>
    </row>
    <row r="248" spans="1:6">
      <c r="A248" t="s">
        <v>341</v>
      </c>
      <c r="B248" t="s">
        <v>149</v>
      </c>
      <c r="C248" t="s">
        <v>346</v>
      </c>
      <c r="D248" t="s">
        <v>144</v>
      </c>
      <c r="F248" t="s">
        <v>145</v>
      </c>
    </row>
    <row r="249" spans="1:6">
      <c r="A249" t="s">
        <v>341</v>
      </c>
      <c r="B249" t="s">
        <v>149</v>
      </c>
      <c r="C249" t="s">
        <v>347</v>
      </c>
      <c r="D249" t="s">
        <v>144</v>
      </c>
      <c r="F249" t="s">
        <v>145</v>
      </c>
    </row>
    <row r="250" spans="1:6">
      <c r="A250" t="s">
        <v>341</v>
      </c>
      <c r="B250" t="s">
        <v>149</v>
      </c>
      <c r="C250" t="s">
        <v>348</v>
      </c>
      <c r="D250" t="s">
        <v>144</v>
      </c>
      <c r="F250" t="s">
        <v>145</v>
      </c>
    </row>
    <row r="251" spans="1:6">
      <c r="A251" t="s">
        <v>341</v>
      </c>
      <c r="B251" t="s">
        <v>149</v>
      </c>
      <c r="C251" t="s">
        <v>349</v>
      </c>
      <c r="D251" t="s">
        <v>144</v>
      </c>
      <c r="F251" t="s">
        <v>145</v>
      </c>
    </row>
    <row r="252" spans="1:6">
      <c r="A252" t="s">
        <v>341</v>
      </c>
      <c r="B252" t="s">
        <v>149</v>
      </c>
      <c r="C252" t="s">
        <v>350</v>
      </c>
      <c r="D252" t="s">
        <v>144</v>
      </c>
      <c r="F252" t="s">
        <v>145</v>
      </c>
    </row>
    <row r="253" spans="1:6">
      <c r="A253" t="s">
        <v>341</v>
      </c>
      <c r="B253" t="s">
        <v>149</v>
      </c>
      <c r="C253" t="s">
        <v>351</v>
      </c>
      <c r="D253" t="s">
        <v>144</v>
      </c>
      <c r="F253" t="s">
        <v>145</v>
      </c>
    </row>
    <row r="254" spans="1:6">
      <c r="A254" t="s">
        <v>341</v>
      </c>
      <c r="B254" t="s">
        <v>149</v>
      </c>
      <c r="C254" t="s">
        <v>352</v>
      </c>
      <c r="D254" t="s">
        <v>144</v>
      </c>
      <c r="F254" t="s">
        <v>145</v>
      </c>
    </row>
    <row r="255" spans="1:6">
      <c r="A255" t="s">
        <v>341</v>
      </c>
      <c r="B255" t="s">
        <v>149</v>
      </c>
      <c r="C255" t="s">
        <v>353</v>
      </c>
      <c r="D255" t="s">
        <v>144</v>
      </c>
      <c r="F255" t="s">
        <v>145</v>
      </c>
    </row>
    <row r="256" spans="1:6">
      <c r="A256" t="s">
        <v>341</v>
      </c>
      <c r="B256" t="s">
        <v>149</v>
      </c>
      <c r="C256" t="s">
        <v>354</v>
      </c>
      <c r="D256" t="s">
        <v>144</v>
      </c>
      <c r="F256" t="s">
        <v>145</v>
      </c>
    </row>
    <row r="257" spans="1:6">
      <c r="A257" t="s">
        <v>341</v>
      </c>
      <c r="B257" t="s">
        <v>149</v>
      </c>
      <c r="C257" t="s">
        <v>355</v>
      </c>
      <c r="D257" t="s">
        <v>144</v>
      </c>
      <c r="F257" t="s">
        <v>145</v>
      </c>
    </row>
    <row r="258" spans="1:6">
      <c r="A258" t="s">
        <v>341</v>
      </c>
      <c r="B258" t="s">
        <v>153</v>
      </c>
      <c r="C258" t="s">
        <v>309</v>
      </c>
      <c r="D258" t="s">
        <v>164</v>
      </c>
      <c r="F258" t="s">
        <v>145</v>
      </c>
    </row>
    <row r="259" spans="1:6">
      <c r="A259" t="s">
        <v>341</v>
      </c>
      <c r="B259" t="s">
        <v>153</v>
      </c>
      <c r="C259" t="s">
        <v>356</v>
      </c>
      <c r="D259" t="s">
        <v>144</v>
      </c>
      <c r="F259" t="s">
        <v>145</v>
      </c>
    </row>
    <row r="260" spans="1:6">
      <c r="A260" t="s">
        <v>341</v>
      </c>
      <c r="B260" t="s">
        <v>153</v>
      </c>
      <c r="C260" t="s">
        <v>357</v>
      </c>
      <c r="D260" t="s">
        <v>144</v>
      </c>
      <c r="F260" t="s">
        <v>145</v>
      </c>
    </row>
    <row r="261" spans="1:6">
      <c r="A261" t="s">
        <v>341</v>
      </c>
      <c r="B261" t="s">
        <v>153</v>
      </c>
      <c r="C261" t="s">
        <v>358</v>
      </c>
      <c r="D261" t="s">
        <v>144</v>
      </c>
      <c r="F261" t="s">
        <v>145</v>
      </c>
    </row>
    <row r="262" spans="1:6">
      <c r="A262" t="s">
        <v>341</v>
      </c>
      <c r="B262" t="s">
        <v>153</v>
      </c>
      <c r="C262" t="s">
        <v>359</v>
      </c>
      <c r="D262" t="s">
        <v>144</v>
      </c>
      <c r="F262" t="s">
        <v>145</v>
      </c>
    </row>
    <row r="263" spans="1:6">
      <c r="A263" t="s">
        <v>341</v>
      </c>
      <c r="B263" t="s">
        <v>337</v>
      </c>
      <c r="C263" t="s">
        <v>339</v>
      </c>
      <c r="D263" t="s">
        <v>164</v>
      </c>
      <c r="F263" t="s">
        <v>337</v>
      </c>
    </row>
    <row r="264" spans="1:6">
      <c r="A264" t="s">
        <v>341</v>
      </c>
      <c r="B264" t="s">
        <v>337</v>
      </c>
      <c r="C264" t="s">
        <v>360</v>
      </c>
      <c r="D264" t="s">
        <v>144</v>
      </c>
      <c r="F264" t="s">
        <v>337</v>
      </c>
    </row>
    <row r="265" spans="1:6">
      <c r="A265" t="s">
        <v>341</v>
      </c>
      <c r="B265" t="s">
        <v>337</v>
      </c>
      <c r="C265" t="s">
        <v>361</v>
      </c>
      <c r="D265" t="s">
        <v>144</v>
      </c>
      <c r="F265" t="s">
        <v>337</v>
      </c>
    </row>
    <row r="266" spans="1:6">
      <c r="A266" t="s">
        <v>341</v>
      </c>
      <c r="B266" t="s">
        <v>337</v>
      </c>
      <c r="C266" t="s">
        <v>362</v>
      </c>
      <c r="D266" t="s">
        <v>144</v>
      </c>
      <c r="F266" t="s">
        <v>337</v>
      </c>
    </row>
    <row r="267" spans="1:6">
      <c r="A267" t="s">
        <v>341</v>
      </c>
      <c r="B267" t="s">
        <v>337</v>
      </c>
      <c r="C267" t="s">
        <v>363</v>
      </c>
      <c r="D267" t="s">
        <v>144</v>
      </c>
      <c r="F267" t="s">
        <v>337</v>
      </c>
    </row>
    <row r="268" spans="1:6">
      <c r="A268" t="s">
        <v>341</v>
      </c>
      <c r="B268" t="s">
        <v>158</v>
      </c>
      <c r="C268" t="s">
        <v>257</v>
      </c>
      <c r="D268" t="s">
        <v>160</v>
      </c>
      <c r="F268" t="s">
        <v>145</v>
      </c>
    </row>
    <row r="269" spans="1:6">
      <c r="A269" t="s">
        <v>341</v>
      </c>
      <c r="B269" t="s">
        <v>158</v>
      </c>
      <c r="C269" t="s">
        <v>292</v>
      </c>
      <c r="D269" t="s">
        <v>219</v>
      </c>
      <c r="F269" t="s">
        <v>145</v>
      </c>
    </row>
    <row r="270" spans="1:6">
      <c r="A270" t="s">
        <v>341</v>
      </c>
      <c r="B270" t="s">
        <v>158</v>
      </c>
      <c r="C270" t="s">
        <v>260</v>
      </c>
      <c r="D270" t="s">
        <v>217</v>
      </c>
      <c r="F270" t="s">
        <v>145</v>
      </c>
    </row>
    <row r="271" spans="1:6">
      <c r="A271" t="s">
        <v>341</v>
      </c>
      <c r="B271" t="s">
        <v>158</v>
      </c>
      <c r="C271" t="s">
        <v>282</v>
      </c>
      <c r="D271" t="s">
        <v>217</v>
      </c>
      <c r="F271" t="s">
        <v>145</v>
      </c>
    </row>
    <row r="272" spans="1:6">
      <c r="A272" t="s">
        <v>341</v>
      </c>
      <c r="B272" t="s">
        <v>158</v>
      </c>
      <c r="C272" t="s">
        <v>237</v>
      </c>
      <c r="D272" t="s">
        <v>217</v>
      </c>
      <c r="F272" t="s">
        <v>145</v>
      </c>
    </row>
    <row r="273" spans="1:6">
      <c r="A273" t="s">
        <v>341</v>
      </c>
      <c r="B273" t="s">
        <v>158</v>
      </c>
      <c r="C273" t="s">
        <v>306</v>
      </c>
      <c r="D273" t="s">
        <v>217</v>
      </c>
      <c r="F273" t="s">
        <v>145</v>
      </c>
    </row>
    <row r="274" spans="1:6">
      <c r="A274" t="s">
        <v>364</v>
      </c>
      <c r="B274" t="s">
        <v>142</v>
      </c>
      <c r="C274" t="s">
        <v>344</v>
      </c>
      <c r="D274" t="s">
        <v>164</v>
      </c>
      <c r="F274" t="s">
        <v>145</v>
      </c>
    </row>
    <row r="275" spans="1:6">
      <c r="A275" t="s">
        <v>364</v>
      </c>
      <c r="B275" t="s">
        <v>142</v>
      </c>
      <c r="C275" t="s">
        <v>365</v>
      </c>
      <c r="D275" t="s">
        <v>144</v>
      </c>
      <c r="F275" t="s">
        <v>145</v>
      </c>
    </row>
    <row r="276" spans="1:6">
      <c r="A276" t="s">
        <v>364</v>
      </c>
      <c r="B276" t="s">
        <v>142</v>
      </c>
      <c r="C276" t="s">
        <v>366</v>
      </c>
      <c r="D276" t="s">
        <v>144</v>
      </c>
      <c r="F276" t="s">
        <v>145</v>
      </c>
    </row>
    <row r="277" spans="1:6">
      <c r="A277" t="s">
        <v>364</v>
      </c>
      <c r="B277" t="s">
        <v>142</v>
      </c>
      <c r="C277" t="s">
        <v>367</v>
      </c>
      <c r="D277" t="s">
        <v>144</v>
      </c>
      <c r="F277" t="s">
        <v>145</v>
      </c>
    </row>
    <row r="278" spans="1:6">
      <c r="A278" t="s">
        <v>364</v>
      </c>
      <c r="B278" t="s">
        <v>142</v>
      </c>
      <c r="C278" t="s">
        <v>368</v>
      </c>
      <c r="D278" t="s">
        <v>144</v>
      </c>
      <c r="F278" t="s">
        <v>145</v>
      </c>
    </row>
    <row r="279" spans="1:6">
      <c r="A279" t="s">
        <v>364</v>
      </c>
      <c r="B279" t="s">
        <v>149</v>
      </c>
      <c r="C279" t="s">
        <v>348</v>
      </c>
      <c r="D279" t="s">
        <v>164</v>
      </c>
      <c r="F279" t="s">
        <v>145</v>
      </c>
    </row>
    <row r="280" spans="1:6">
      <c r="A280" t="s">
        <v>364</v>
      </c>
      <c r="B280" t="s">
        <v>149</v>
      </c>
      <c r="C280" t="s">
        <v>350</v>
      </c>
      <c r="D280" t="s">
        <v>164</v>
      </c>
      <c r="F280" t="s">
        <v>145</v>
      </c>
    </row>
    <row r="281" spans="1:6">
      <c r="A281" t="s">
        <v>364</v>
      </c>
      <c r="B281" t="s">
        <v>149</v>
      </c>
      <c r="C281" t="s">
        <v>369</v>
      </c>
      <c r="D281" t="s">
        <v>144</v>
      </c>
      <c r="F281" t="s">
        <v>145</v>
      </c>
    </row>
    <row r="282" spans="1:6">
      <c r="A282" t="s">
        <v>364</v>
      </c>
      <c r="B282" t="s">
        <v>149</v>
      </c>
      <c r="C282" t="s">
        <v>370</v>
      </c>
      <c r="D282" t="s">
        <v>144</v>
      </c>
      <c r="F282" t="s">
        <v>145</v>
      </c>
    </row>
    <row r="283" spans="1:6">
      <c r="A283" t="s">
        <v>364</v>
      </c>
      <c r="B283" t="s">
        <v>149</v>
      </c>
      <c r="C283" t="s">
        <v>371</v>
      </c>
      <c r="D283" t="s">
        <v>144</v>
      </c>
      <c r="F283" t="s">
        <v>145</v>
      </c>
    </row>
    <row r="284" spans="1:6">
      <c r="A284" t="s">
        <v>364</v>
      </c>
      <c r="B284" t="s">
        <v>149</v>
      </c>
      <c r="C284" t="s">
        <v>372</v>
      </c>
      <c r="D284" t="s">
        <v>144</v>
      </c>
      <c r="F284" t="s">
        <v>145</v>
      </c>
    </row>
    <row r="285" spans="1:6">
      <c r="A285" t="s">
        <v>364</v>
      </c>
      <c r="B285" t="s">
        <v>149</v>
      </c>
      <c r="C285" t="s">
        <v>373</v>
      </c>
      <c r="D285" t="s">
        <v>144</v>
      </c>
      <c r="F285" t="s">
        <v>145</v>
      </c>
    </row>
    <row r="286" spans="1:6">
      <c r="A286" t="s">
        <v>364</v>
      </c>
      <c r="B286" t="s">
        <v>149</v>
      </c>
      <c r="C286" t="s">
        <v>374</v>
      </c>
      <c r="D286" t="s">
        <v>144</v>
      </c>
      <c r="F286" t="s">
        <v>145</v>
      </c>
    </row>
    <row r="287" spans="1:6">
      <c r="A287" t="s">
        <v>364</v>
      </c>
      <c r="B287" t="s">
        <v>149</v>
      </c>
      <c r="C287" t="s">
        <v>375</v>
      </c>
      <c r="D287" t="s">
        <v>144</v>
      </c>
      <c r="F287" t="s">
        <v>145</v>
      </c>
    </row>
    <row r="288" spans="1:6">
      <c r="A288" t="s">
        <v>364</v>
      </c>
      <c r="B288" t="s">
        <v>149</v>
      </c>
      <c r="C288" t="s">
        <v>376</v>
      </c>
      <c r="D288" t="s">
        <v>144</v>
      </c>
      <c r="F288" t="s">
        <v>145</v>
      </c>
    </row>
    <row r="289" spans="1:6">
      <c r="A289" t="s">
        <v>364</v>
      </c>
      <c r="B289" t="s">
        <v>153</v>
      </c>
      <c r="C289" t="s">
        <v>355</v>
      </c>
      <c r="D289" t="s">
        <v>164</v>
      </c>
      <c r="F289" t="s">
        <v>145</v>
      </c>
    </row>
    <row r="290" spans="1:6">
      <c r="A290" t="s">
        <v>364</v>
      </c>
      <c r="B290" t="s">
        <v>153</v>
      </c>
      <c r="C290" t="s">
        <v>377</v>
      </c>
      <c r="D290" t="s">
        <v>144</v>
      </c>
      <c r="F290" t="s">
        <v>145</v>
      </c>
    </row>
    <row r="291" spans="1:6">
      <c r="A291" t="s">
        <v>364</v>
      </c>
      <c r="B291" t="s">
        <v>153</v>
      </c>
      <c r="C291" t="s">
        <v>378</v>
      </c>
      <c r="D291" t="s">
        <v>144</v>
      </c>
      <c r="F291" t="s">
        <v>145</v>
      </c>
    </row>
    <row r="292" spans="1:6">
      <c r="A292" t="s">
        <v>364</v>
      </c>
      <c r="B292" t="s">
        <v>153</v>
      </c>
      <c r="C292" t="s">
        <v>379</v>
      </c>
      <c r="D292" t="s">
        <v>144</v>
      </c>
      <c r="F292" t="s">
        <v>145</v>
      </c>
    </row>
    <row r="293" spans="1:6">
      <c r="A293" t="s">
        <v>364</v>
      </c>
      <c r="B293" t="s">
        <v>153</v>
      </c>
      <c r="C293" t="s">
        <v>380</v>
      </c>
      <c r="D293" t="s">
        <v>144</v>
      </c>
      <c r="F293" t="s">
        <v>337</v>
      </c>
    </row>
    <row r="294" spans="1:6">
      <c r="A294" t="s">
        <v>364</v>
      </c>
      <c r="B294" t="s">
        <v>337</v>
      </c>
      <c r="C294" t="s">
        <v>362</v>
      </c>
      <c r="D294" t="s">
        <v>164</v>
      </c>
      <c r="F294" t="s">
        <v>337</v>
      </c>
    </row>
    <row r="295" spans="1:6">
      <c r="A295" t="s">
        <v>364</v>
      </c>
      <c r="B295" t="s">
        <v>337</v>
      </c>
      <c r="C295" t="s">
        <v>381</v>
      </c>
      <c r="D295" t="s">
        <v>144</v>
      </c>
      <c r="F295" t="s">
        <v>337</v>
      </c>
    </row>
    <row r="296" spans="1:6">
      <c r="A296" t="s">
        <v>364</v>
      </c>
      <c r="B296" t="s">
        <v>337</v>
      </c>
      <c r="C296" t="s">
        <v>382</v>
      </c>
      <c r="D296" t="s">
        <v>144</v>
      </c>
      <c r="F296" t="s">
        <v>337</v>
      </c>
    </row>
    <row r="297" spans="1:6">
      <c r="A297" t="s">
        <v>364</v>
      </c>
      <c r="B297" t="s">
        <v>337</v>
      </c>
      <c r="C297" t="s">
        <v>383</v>
      </c>
      <c r="D297" t="s">
        <v>144</v>
      </c>
      <c r="F297" t="s">
        <v>145</v>
      </c>
    </row>
    <row r="298" spans="1:6">
      <c r="A298" t="s">
        <v>364</v>
      </c>
      <c r="B298" t="s">
        <v>384</v>
      </c>
      <c r="C298" t="s">
        <v>385</v>
      </c>
      <c r="D298" t="s">
        <v>144</v>
      </c>
      <c r="F298" t="s">
        <v>145</v>
      </c>
    </row>
    <row r="299" spans="1:6">
      <c r="A299" t="s">
        <v>364</v>
      </c>
      <c r="B299" t="s">
        <v>384</v>
      </c>
      <c r="C299" t="s">
        <v>386</v>
      </c>
      <c r="D299" t="s">
        <v>144</v>
      </c>
      <c r="F299" t="s">
        <v>145</v>
      </c>
    </row>
    <row r="300" spans="1:6">
      <c r="A300" t="s">
        <v>364</v>
      </c>
      <c r="B300" t="s">
        <v>158</v>
      </c>
      <c r="C300" t="s">
        <v>257</v>
      </c>
      <c r="D300" t="s">
        <v>160</v>
      </c>
      <c r="F300" t="s">
        <v>145</v>
      </c>
    </row>
    <row r="301" spans="1:6">
      <c r="A301" t="s">
        <v>364</v>
      </c>
      <c r="B301" t="s">
        <v>158</v>
      </c>
      <c r="C301" t="s">
        <v>292</v>
      </c>
      <c r="D301" t="s">
        <v>219</v>
      </c>
      <c r="F301" t="s">
        <v>145</v>
      </c>
    </row>
    <row r="302" spans="1:6">
      <c r="A302" t="s">
        <v>364</v>
      </c>
      <c r="B302" t="s">
        <v>158</v>
      </c>
      <c r="C302" t="s">
        <v>260</v>
      </c>
      <c r="D302" t="s">
        <v>217</v>
      </c>
      <c r="F302" t="s">
        <v>145</v>
      </c>
    </row>
    <row r="303" spans="1:6">
      <c r="A303" t="s">
        <v>364</v>
      </c>
      <c r="B303" t="s">
        <v>158</v>
      </c>
      <c r="C303" t="s">
        <v>282</v>
      </c>
      <c r="D303" t="s">
        <v>217</v>
      </c>
      <c r="F303" t="s">
        <v>145</v>
      </c>
    </row>
    <row r="304" spans="1:6">
      <c r="A304" t="s">
        <v>364</v>
      </c>
      <c r="B304" t="s">
        <v>158</v>
      </c>
      <c r="C304" t="s">
        <v>237</v>
      </c>
      <c r="D304" t="s">
        <v>217</v>
      </c>
      <c r="F304" t="s">
        <v>145</v>
      </c>
    </row>
    <row r="305" spans="1:6">
      <c r="A305" t="s">
        <v>364</v>
      </c>
      <c r="B305" t="s">
        <v>158</v>
      </c>
      <c r="C305" t="s">
        <v>306</v>
      </c>
      <c r="D305" t="s">
        <v>217</v>
      </c>
      <c r="F305" t="s">
        <v>145</v>
      </c>
    </row>
    <row r="306" spans="1:6">
      <c r="A306" t="s">
        <v>387</v>
      </c>
      <c r="B306" t="s">
        <v>142</v>
      </c>
      <c r="C306" t="s">
        <v>279</v>
      </c>
      <c r="D306" t="s">
        <v>164</v>
      </c>
      <c r="F306" t="s">
        <v>145</v>
      </c>
    </row>
    <row r="307" spans="1:6">
      <c r="A307" t="s">
        <v>387</v>
      </c>
      <c r="B307" t="s">
        <v>142</v>
      </c>
      <c r="C307" t="s">
        <v>388</v>
      </c>
      <c r="D307" t="s">
        <v>144</v>
      </c>
      <c r="F307" t="s">
        <v>145</v>
      </c>
    </row>
    <row r="308" spans="1:6">
      <c r="A308" t="s">
        <v>387</v>
      </c>
      <c r="B308" t="s">
        <v>142</v>
      </c>
      <c r="C308" t="s">
        <v>389</v>
      </c>
      <c r="D308" t="s">
        <v>144</v>
      </c>
      <c r="F308" t="s">
        <v>145</v>
      </c>
    </row>
    <row r="309" spans="1:6">
      <c r="A309" t="s">
        <v>387</v>
      </c>
      <c r="B309" t="s">
        <v>142</v>
      </c>
      <c r="C309" t="s">
        <v>390</v>
      </c>
      <c r="D309" t="s">
        <v>144</v>
      </c>
      <c r="F309" t="s">
        <v>145</v>
      </c>
    </row>
    <row r="310" spans="1:6">
      <c r="A310" t="s">
        <v>387</v>
      </c>
      <c r="B310" t="s">
        <v>142</v>
      </c>
      <c r="C310" t="s">
        <v>391</v>
      </c>
      <c r="D310" t="s">
        <v>144</v>
      </c>
      <c r="F310" t="s">
        <v>145</v>
      </c>
    </row>
    <row r="311" spans="1:6">
      <c r="A311" t="s">
        <v>387</v>
      </c>
      <c r="B311" t="s">
        <v>149</v>
      </c>
      <c r="C311" t="s">
        <v>342</v>
      </c>
      <c r="D311" t="s">
        <v>164</v>
      </c>
      <c r="F311" t="s">
        <v>145</v>
      </c>
    </row>
    <row r="312" spans="1:6">
      <c r="A312" t="s">
        <v>387</v>
      </c>
      <c r="B312" t="s">
        <v>149</v>
      </c>
      <c r="C312" t="s">
        <v>392</v>
      </c>
      <c r="D312" t="s">
        <v>144</v>
      </c>
      <c r="F312" t="s">
        <v>145</v>
      </c>
    </row>
    <row r="313" spans="1:6">
      <c r="A313" t="s">
        <v>387</v>
      </c>
      <c r="B313" t="s">
        <v>149</v>
      </c>
      <c r="C313" t="s">
        <v>393</v>
      </c>
      <c r="D313" t="s">
        <v>144</v>
      </c>
      <c r="F313" t="s">
        <v>145</v>
      </c>
    </row>
    <row r="314" spans="1:6">
      <c r="A314" t="s">
        <v>387</v>
      </c>
      <c r="B314" t="s">
        <v>149</v>
      </c>
      <c r="C314" t="s">
        <v>394</v>
      </c>
      <c r="D314" t="s">
        <v>144</v>
      </c>
      <c r="F314" t="s">
        <v>145</v>
      </c>
    </row>
    <row r="315" spans="1:6">
      <c r="A315" t="s">
        <v>387</v>
      </c>
      <c r="B315" t="s">
        <v>149</v>
      </c>
      <c r="C315" t="s">
        <v>395</v>
      </c>
      <c r="D315" t="s">
        <v>144</v>
      </c>
      <c r="F315" t="s">
        <v>145</v>
      </c>
    </row>
    <row r="316" spans="1:6">
      <c r="A316" t="s">
        <v>387</v>
      </c>
      <c r="B316" t="s">
        <v>153</v>
      </c>
      <c r="C316" t="s">
        <v>368</v>
      </c>
      <c r="D316" t="s">
        <v>164</v>
      </c>
      <c r="F316" t="s">
        <v>145</v>
      </c>
    </row>
    <row r="317" spans="1:6">
      <c r="A317" t="s">
        <v>387</v>
      </c>
      <c r="B317" t="s">
        <v>153</v>
      </c>
      <c r="C317" t="s">
        <v>369</v>
      </c>
      <c r="D317" t="s">
        <v>164</v>
      </c>
      <c r="F317" t="s">
        <v>145</v>
      </c>
    </row>
    <row r="318" spans="1:6">
      <c r="A318" t="s">
        <v>387</v>
      </c>
      <c r="B318" t="s">
        <v>153</v>
      </c>
      <c r="C318" t="s">
        <v>396</v>
      </c>
      <c r="D318" t="s">
        <v>144</v>
      </c>
      <c r="F318" t="s">
        <v>145</v>
      </c>
    </row>
    <row r="319" spans="1:6">
      <c r="A319" t="s">
        <v>387</v>
      </c>
      <c r="B319" t="s">
        <v>153</v>
      </c>
      <c r="C319" t="s">
        <v>397</v>
      </c>
      <c r="D319" t="s">
        <v>144</v>
      </c>
      <c r="F319" t="s">
        <v>145</v>
      </c>
    </row>
    <row r="320" spans="1:6">
      <c r="A320" t="s">
        <v>387</v>
      </c>
      <c r="B320" t="s">
        <v>153</v>
      </c>
      <c r="C320" t="s">
        <v>398</v>
      </c>
      <c r="D320" t="s">
        <v>144</v>
      </c>
      <c r="F320" t="s">
        <v>145</v>
      </c>
    </row>
    <row r="321" spans="1:6">
      <c r="A321" t="s">
        <v>387</v>
      </c>
      <c r="B321" t="s">
        <v>153</v>
      </c>
      <c r="C321" t="s">
        <v>399</v>
      </c>
      <c r="D321" t="s">
        <v>144</v>
      </c>
      <c r="F321" t="s">
        <v>145</v>
      </c>
    </row>
    <row r="322" spans="1:6">
      <c r="A322" t="s">
        <v>387</v>
      </c>
      <c r="B322" t="s">
        <v>153</v>
      </c>
      <c r="C322" t="s">
        <v>400</v>
      </c>
      <c r="D322" t="s">
        <v>144</v>
      </c>
      <c r="F322" t="s">
        <v>145</v>
      </c>
    </row>
    <row r="323" spans="1:6">
      <c r="A323" t="s">
        <v>387</v>
      </c>
      <c r="B323" t="s">
        <v>153</v>
      </c>
      <c r="C323" t="s">
        <v>401</v>
      </c>
      <c r="D323" t="s">
        <v>144</v>
      </c>
      <c r="F323" t="s">
        <v>145</v>
      </c>
    </row>
    <row r="324" spans="1:6">
      <c r="A324" t="s">
        <v>387</v>
      </c>
      <c r="B324" t="s">
        <v>337</v>
      </c>
      <c r="C324" t="s">
        <v>382</v>
      </c>
      <c r="D324" t="s">
        <v>164</v>
      </c>
      <c r="F324" t="s">
        <v>337</v>
      </c>
    </row>
    <row r="325" spans="1:6">
      <c r="A325" t="s">
        <v>387</v>
      </c>
      <c r="B325" t="s">
        <v>337</v>
      </c>
      <c r="C325" t="s">
        <v>402</v>
      </c>
      <c r="D325" t="s">
        <v>144</v>
      </c>
      <c r="F325" t="s">
        <v>337</v>
      </c>
    </row>
    <row r="326" spans="1:6">
      <c r="A326" t="s">
        <v>387</v>
      </c>
      <c r="B326" t="s">
        <v>337</v>
      </c>
      <c r="C326" t="s">
        <v>403</v>
      </c>
      <c r="D326" t="s">
        <v>144</v>
      </c>
      <c r="F326" t="s">
        <v>337</v>
      </c>
    </row>
    <row r="327" spans="1:6">
      <c r="A327" t="s">
        <v>387</v>
      </c>
      <c r="B327" t="s">
        <v>337</v>
      </c>
      <c r="C327" t="s">
        <v>404</v>
      </c>
      <c r="D327" t="s">
        <v>144</v>
      </c>
      <c r="F327" t="s">
        <v>337</v>
      </c>
    </row>
    <row r="328" spans="1:6">
      <c r="A328" t="s">
        <v>387</v>
      </c>
      <c r="B328" t="s">
        <v>384</v>
      </c>
      <c r="C328" t="s">
        <v>385</v>
      </c>
      <c r="D328" t="s">
        <v>164</v>
      </c>
      <c r="F328" t="s">
        <v>145</v>
      </c>
    </row>
    <row r="329" spans="1:6">
      <c r="A329" t="s">
        <v>387</v>
      </c>
      <c r="B329" t="s">
        <v>384</v>
      </c>
      <c r="C329" t="s">
        <v>386</v>
      </c>
      <c r="D329" t="s">
        <v>164</v>
      </c>
      <c r="F329" t="s">
        <v>145</v>
      </c>
    </row>
    <row r="330" spans="1:6">
      <c r="A330" t="s">
        <v>387</v>
      </c>
      <c r="B330" t="s">
        <v>384</v>
      </c>
      <c r="C330" t="s">
        <v>405</v>
      </c>
      <c r="D330" t="s">
        <v>144</v>
      </c>
      <c r="F330" t="s">
        <v>145</v>
      </c>
    </row>
    <row r="331" spans="1:6">
      <c r="A331" t="s">
        <v>387</v>
      </c>
      <c r="B331" t="s">
        <v>384</v>
      </c>
      <c r="C331" t="s">
        <v>406</v>
      </c>
      <c r="D331" t="s">
        <v>144</v>
      </c>
      <c r="F331" t="s">
        <v>145</v>
      </c>
    </row>
    <row r="332" spans="1:6">
      <c r="A332" t="s">
        <v>387</v>
      </c>
      <c r="B332" t="s">
        <v>384</v>
      </c>
      <c r="C332" t="s">
        <v>407</v>
      </c>
      <c r="D332" t="s">
        <v>144</v>
      </c>
      <c r="F332" t="s">
        <v>145</v>
      </c>
    </row>
    <row r="333" spans="1:6">
      <c r="A333" t="s">
        <v>387</v>
      </c>
      <c r="B333" t="s">
        <v>158</v>
      </c>
      <c r="C333" t="s">
        <v>257</v>
      </c>
      <c r="D333" t="s">
        <v>160</v>
      </c>
      <c r="F333" t="s">
        <v>145</v>
      </c>
    </row>
    <row r="334" spans="1:6">
      <c r="A334" t="s">
        <v>387</v>
      </c>
      <c r="B334" t="s">
        <v>158</v>
      </c>
      <c r="C334" t="s">
        <v>408</v>
      </c>
      <c r="D334" t="s">
        <v>409</v>
      </c>
      <c r="F334" t="s">
        <v>145</v>
      </c>
    </row>
    <row r="335" spans="1:6">
      <c r="A335" t="s">
        <v>387</v>
      </c>
      <c r="B335" t="s">
        <v>158</v>
      </c>
      <c r="C335" t="s">
        <v>282</v>
      </c>
      <c r="D335" t="s">
        <v>162</v>
      </c>
      <c r="F335" t="s">
        <v>145</v>
      </c>
    </row>
    <row r="336" spans="1:6">
      <c r="A336" t="s">
        <v>387</v>
      </c>
      <c r="B336" t="s">
        <v>158</v>
      </c>
      <c r="C336" t="s">
        <v>237</v>
      </c>
      <c r="D336" t="s">
        <v>162</v>
      </c>
      <c r="F336" t="s">
        <v>145</v>
      </c>
    </row>
    <row r="337" spans="1:6">
      <c r="A337" t="s">
        <v>387</v>
      </c>
      <c r="B337" t="s">
        <v>158</v>
      </c>
      <c r="C337" t="s">
        <v>260</v>
      </c>
      <c r="D337" t="s">
        <v>217</v>
      </c>
      <c r="F337" t="s">
        <v>145</v>
      </c>
    </row>
    <row r="338" spans="1:6">
      <c r="A338" t="s">
        <v>387</v>
      </c>
      <c r="B338" t="s">
        <v>158</v>
      </c>
      <c r="C338" t="s">
        <v>306</v>
      </c>
      <c r="D338" t="s">
        <v>217</v>
      </c>
      <c r="F338" t="s">
        <v>145</v>
      </c>
    </row>
    <row r="339" spans="1:6">
      <c r="A339" t="s">
        <v>387</v>
      </c>
      <c r="B339" t="s">
        <v>158</v>
      </c>
      <c r="C339" t="s">
        <v>350</v>
      </c>
      <c r="D339" t="s">
        <v>217</v>
      </c>
      <c r="F339" t="s">
        <v>145</v>
      </c>
    </row>
    <row r="340" spans="1:6">
      <c r="A340" t="s">
        <v>387</v>
      </c>
      <c r="B340" t="s">
        <v>158</v>
      </c>
      <c r="C340" t="s">
        <v>366</v>
      </c>
      <c r="D340" t="s">
        <v>217</v>
      </c>
      <c r="F340" t="s">
        <v>145</v>
      </c>
    </row>
    <row r="341" spans="1:6">
      <c r="A341" t="s">
        <v>410</v>
      </c>
      <c r="B341" t="s">
        <v>142</v>
      </c>
      <c r="C341" t="s">
        <v>319</v>
      </c>
      <c r="D341" t="s">
        <v>164</v>
      </c>
      <c r="F341" t="s">
        <v>145</v>
      </c>
    </row>
    <row r="342" spans="1:6">
      <c r="A342" t="s">
        <v>410</v>
      </c>
      <c r="B342" t="s">
        <v>142</v>
      </c>
      <c r="C342" t="s">
        <v>411</v>
      </c>
      <c r="D342" t="s">
        <v>144</v>
      </c>
      <c r="F342" t="s">
        <v>145</v>
      </c>
    </row>
    <row r="343" spans="1:6">
      <c r="A343" t="s">
        <v>410</v>
      </c>
      <c r="B343" t="s">
        <v>142</v>
      </c>
      <c r="C343" t="s">
        <v>412</v>
      </c>
      <c r="D343" t="s">
        <v>144</v>
      </c>
      <c r="F343" t="s">
        <v>145</v>
      </c>
    </row>
    <row r="344" spans="1:6">
      <c r="A344" t="s">
        <v>410</v>
      </c>
      <c r="B344" t="s">
        <v>142</v>
      </c>
      <c r="C344" t="s">
        <v>413</v>
      </c>
      <c r="D344" t="s">
        <v>144</v>
      </c>
      <c r="F344" t="s">
        <v>145</v>
      </c>
    </row>
    <row r="345" spans="1:6">
      <c r="A345" t="s">
        <v>410</v>
      </c>
      <c r="B345" t="s">
        <v>142</v>
      </c>
      <c r="C345" t="s">
        <v>414</v>
      </c>
      <c r="D345" t="s">
        <v>144</v>
      </c>
      <c r="F345" t="s">
        <v>145</v>
      </c>
    </row>
    <row r="346" spans="1:6">
      <c r="A346" t="s">
        <v>410</v>
      </c>
      <c r="B346" t="s">
        <v>142</v>
      </c>
      <c r="C346" t="s">
        <v>415</v>
      </c>
      <c r="D346" t="s">
        <v>144</v>
      </c>
      <c r="F346" t="s">
        <v>145</v>
      </c>
    </row>
    <row r="347" spans="1:6">
      <c r="A347" t="s">
        <v>410</v>
      </c>
      <c r="B347" t="s">
        <v>142</v>
      </c>
      <c r="C347" t="s">
        <v>416</v>
      </c>
      <c r="D347" t="s">
        <v>144</v>
      </c>
      <c r="F347" t="s">
        <v>145</v>
      </c>
    </row>
    <row r="348" spans="1:6">
      <c r="A348" t="s">
        <v>410</v>
      </c>
      <c r="B348" t="s">
        <v>142</v>
      </c>
      <c r="C348" t="s">
        <v>417</v>
      </c>
      <c r="D348" t="s">
        <v>144</v>
      </c>
      <c r="F348" t="s">
        <v>145</v>
      </c>
    </row>
    <row r="349" spans="1:6">
      <c r="A349" t="s">
        <v>410</v>
      </c>
      <c r="B349" t="s">
        <v>142</v>
      </c>
      <c r="C349" t="s">
        <v>418</v>
      </c>
      <c r="D349" t="s">
        <v>144</v>
      </c>
      <c r="F349" t="s">
        <v>145</v>
      </c>
    </row>
    <row r="350" spans="1:6">
      <c r="A350" t="s">
        <v>410</v>
      </c>
      <c r="B350" t="s">
        <v>142</v>
      </c>
      <c r="C350" t="s">
        <v>419</v>
      </c>
      <c r="D350" t="s">
        <v>144</v>
      </c>
      <c r="F350" t="s">
        <v>145</v>
      </c>
    </row>
    <row r="351" spans="1:6">
      <c r="A351" t="s">
        <v>410</v>
      </c>
      <c r="B351" t="s">
        <v>142</v>
      </c>
      <c r="C351" t="s">
        <v>420</v>
      </c>
      <c r="D351" t="s">
        <v>144</v>
      </c>
      <c r="F351" t="s">
        <v>145</v>
      </c>
    </row>
    <row r="352" spans="1:6">
      <c r="A352" t="s">
        <v>410</v>
      </c>
      <c r="B352" t="s">
        <v>142</v>
      </c>
      <c r="C352" t="s">
        <v>421</v>
      </c>
      <c r="D352" t="s">
        <v>144</v>
      </c>
      <c r="F352" t="s">
        <v>145</v>
      </c>
    </row>
    <row r="353" spans="1:6">
      <c r="A353" t="s">
        <v>410</v>
      </c>
      <c r="B353" t="s">
        <v>149</v>
      </c>
      <c r="C353" t="s">
        <v>395</v>
      </c>
      <c r="D353" t="s">
        <v>164</v>
      </c>
      <c r="F353" t="s">
        <v>145</v>
      </c>
    </row>
    <row r="354" spans="1:6">
      <c r="A354" t="s">
        <v>410</v>
      </c>
      <c r="B354" t="s">
        <v>149</v>
      </c>
      <c r="C354" t="s">
        <v>422</v>
      </c>
      <c r="D354" t="s">
        <v>144</v>
      </c>
      <c r="F354" t="s">
        <v>145</v>
      </c>
    </row>
    <row r="355" spans="1:6">
      <c r="A355" t="s">
        <v>410</v>
      </c>
      <c r="B355" t="s">
        <v>149</v>
      </c>
      <c r="C355" t="s">
        <v>423</v>
      </c>
      <c r="D355" t="s">
        <v>144</v>
      </c>
      <c r="F355" t="s">
        <v>145</v>
      </c>
    </row>
    <row r="356" spans="1:6">
      <c r="A356" t="s">
        <v>410</v>
      </c>
      <c r="B356" t="s">
        <v>149</v>
      </c>
      <c r="C356" t="s">
        <v>424</v>
      </c>
      <c r="D356" t="s">
        <v>144</v>
      </c>
      <c r="F356" t="s">
        <v>145</v>
      </c>
    </row>
    <row r="357" spans="1:6">
      <c r="A357" t="s">
        <v>410</v>
      </c>
      <c r="B357" t="s">
        <v>149</v>
      </c>
      <c r="C357" t="s">
        <v>425</v>
      </c>
      <c r="D357" t="s">
        <v>144</v>
      </c>
      <c r="F357" t="s">
        <v>145</v>
      </c>
    </row>
    <row r="358" spans="1:6">
      <c r="A358" t="s">
        <v>410</v>
      </c>
      <c r="B358" t="s">
        <v>153</v>
      </c>
      <c r="C358" t="s">
        <v>366</v>
      </c>
      <c r="D358" t="s">
        <v>164</v>
      </c>
      <c r="F358" t="s">
        <v>145</v>
      </c>
    </row>
    <row r="359" spans="1:6">
      <c r="A359" t="s">
        <v>410</v>
      </c>
      <c r="B359" t="s">
        <v>153</v>
      </c>
      <c r="C359" t="s">
        <v>426</v>
      </c>
      <c r="D359" t="s">
        <v>144</v>
      </c>
      <c r="F359" t="s">
        <v>145</v>
      </c>
    </row>
    <row r="360" spans="1:6">
      <c r="A360" t="s">
        <v>410</v>
      </c>
      <c r="B360" t="s">
        <v>153</v>
      </c>
      <c r="C360" t="s">
        <v>427</v>
      </c>
      <c r="D360" t="s">
        <v>144</v>
      </c>
      <c r="F360" t="s">
        <v>145</v>
      </c>
    </row>
    <row r="361" spans="1:6">
      <c r="A361" t="s">
        <v>410</v>
      </c>
      <c r="B361" t="s">
        <v>153</v>
      </c>
      <c r="C361" t="s">
        <v>428</v>
      </c>
      <c r="D361" t="s">
        <v>144</v>
      </c>
      <c r="F361" t="s">
        <v>145</v>
      </c>
    </row>
    <row r="362" spans="1:6">
      <c r="A362" t="s">
        <v>410</v>
      </c>
      <c r="B362" t="s">
        <v>311</v>
      </c>
      <c r="C362" t="s">
        <v>380</v>
      </c>
      <c r="D362" t="s">
        <v>164</v>
      </c>
      <c r="F362" t="s">
        <v>145</v>
      </c>
    </row>
    <row r="363" spans="1:6">
      <c r="A363" t="s">
        <v>410</v>
      </c>
      <c r="B363" t="s">
        <v>311</v>
      </c>
      <c r="C363" t="s">
        <v>429</v>
      </c>
      <c r="D363" t="s">
        <v>144</v>
      </c>
      <c r="F363" t="s">
        <v>145</v>
      </c>
    </row>
    <row r="364" spans="1:6">
      <c r="A364" t="s">
        <v>410</v>
      </c>
      <c r="B364" t="s">
        <v>311</v>
      </c>
      <c r="C364" t="s">
        <v>430</v>
      </c>
      <c r="D364" t="s">
        <v>144</v>
      </c>
      <c r="F364" t="s">
        <v>145</v>
      </c>
    </row>
    <row r="365" spans="1:6">
      <c r="A365" t="s">
        <v>410</v>
      </c>
      <c r="B365" t="s">
        <v>311</v>
      </c>
      <c r="C365" t="s">
        <v>431</v>
      </c>
      <c r="D365" t="s">
        <v>144</v>
      </c>
      <c r="F365" t="s">
        <v>145</v>
      </c>
    </row>
    <row r="366" spans="1:6">
      <c r="A366" t="s">
        <v>410</v>
      </c>
      <c r="B366" t="s">
        <v>311</v>
      </c>
      <c r="C366" t="s">
        <v>432</v>
      </c>
      <c r="D366" t="s">
        <v>144</v>
      </c>
      <c r="F366" t="s">
        <v>145</v>
      </c>
    </row>
    <row r="367" spans="1:6">
      <c r="A367" t="s">
        <v>410</v>
      </c>
      <c r="B367" t="s">
        <v>337</v>
      </c>
      <c r="C367" t="s">
        <v>402</v>
      </c>
      <c r="D367" t="s">
        <v>164</v>
      </c>
      <c r="F367" t="s">
        <v>337</v>
      </c>
    </row>
    <row r="368" spans="1:6">
      <c r="A368" t="s">
        <v>410</v>
      </c>
      <c r="B368" t="s">
        <v>337</v>
      </c>
      <c r="C368" t="s">
        <v>433</v>
      </c>
      <c r="D368" t="s">
        <v>144</v>
      </c>
      <c r="F368" t="s">
        <v>337</v>
      </c>
    </row>
    <row r="369" spans="1:6">
      <c r="A369" t="s">
        <v>410</v>
      </c>
      <c r="B369" t="s">
        <v>337</v>
      </c>
      <c r="C369" t="s">
        <v>434</v>
      </c>
      <c r="D369" t="s">
        <v>144</v>
      </c>
      <c r="F369" t="s">
        <v>337</v>
      </c>
    </row>
    <row r="370" spans="1:6">
      <c r="A370" t="s">
        <v>410</v>
      </c>
      <c r="B370" t="s">
        <v>337</v>
      </c>
      <c r="C370" t="s">
        <v>435</v>
      </c>
      <c r="D370" t="s">
        <v>144</v>
      </c>
      <c r="F370" t="s">
        <v>337</v>
      </c>
    </row>
    <row r="371" spans="1:6">
      <c r="A371" t="s">
        <v>410</v>
      </c>
      <c r="B371" t="s">
        <v>337</v>
      </c>
      <c r="C371" t="s">
        <v>436</v>
      </c>
      <c r="D371" t="s">
        <v>144</v>
      </c>
      <c r="F371" t="s">
        <v>337</v>
      </c>
    </row>
    <row r="372" spans="1:6">
      <c r="A372" t="s">
        <v>410</v>
      </c>
      <c r="B372" t="s">
        <v>337</v>
      </c>
      <c r="C372" t="s">
        <v>437</v>
      </c>
      <c r="D372" t="s">
        <v>144</v>
      </c>
      <c r="F372" t="s">
        <v>337</v>
      </c>
    </row>
    <row r="373" spans="1:6">
      <c r="A373" t="s">
        <v>410</v>
      </c>
      <c r="B373" t="s">
        <v>337</v>
      </c>
      <c r="C373" t="s">
        <v>438</v>
      </c>
      <c r="D373" t="s">
        <v>144</v>
      </c>
      <c r="F373" t="s">
        <v>337</v>
      </c>
    </row>
    <row r="374" spans="1:6">
      <c r="A374" t="s">
        <v>410</v>
      </c>
      <c r="B374" t="s">
        <v>384</v>
      </c>
      <c r="C374" t="s">
        <v>407</v>
      </c>
      <c r="D374" t="s">
        <v>164</v>
      </c>
      <c r="F374" t="s">
        <v>145</v>
      </c>
    </row>
    <row r="375" spans="1:6">
      <c r="A375" t="s">
        <v>410</v>
      </c>
      <c r="B375" t="s">
        <v>384</v>
      </c>
      <c r="C375" t="s">
        <v>439</v>
      </c>
      <c r="D375" t="s">
        <v>144</v>
      </c>
      <c r="F375" t="s">
        <v>145</v>
      </c>
    </row>
    <row r="376" spans="1:6">
      <c r="A376" t="s">
        <v>410</v>
      </c>
      <c r="B376" t="s">
        <v>384</v>
      </c>
      <c r="C376" t="s">
        <v>440</v>
      </c>
      <c r="D376" t="s">
        <v>144</v>
      </c>
      <c r="F376" t="s">
        <v>145</v>
      </c>
    </row>
    <row r="377" spans="1:6">
      <c r="A377" t="s">
        <v>410</v>
      </c>
      <c r="B377" t="s">
        <v>384</v>
      </c>
      <c r="C377" t="s">
        <v>441</v>
      </c>
      <c r="D377" t="s">
        <v>144</v>
      </c>
      <c r="F377" t="s">
        <v>145</v>
      </c>
    </row>
    <row r="378" spans="1:6">
      <c r="A378" t="s">
        <v>410</v>
      </c>
      <c r="B378" t="s">
        <v>158</v>
      </c>
      <c r="C378" t="s">
        <v>257</v>
      </c>
      <c r="D378" t="s">
        <v>160</v>
      </c>
      <c r="F378" t="s">
        <v>145</v>
      </c>
    </row>
    <row r="379" spans="1:6">
      <c r="A379" t="s">
        <v>410</v>
      </c>
      <c r="B379" t="s">
        <v>158</v>
      </c>
      <c r="C379" t="s">
        <v>408</v>
      </c>
      <c r="D379" t="s">
        <v>409</v>
      </c>
      <c r="F379" t="s">
        <v>145</v>
      </c>
    </row>
    <row r="380" spans="1:6">
      <c r="A380" t="s">
        <v>410</v>
      </c>
      <c r="B380" t="s">
        <v>158</v>
      </c>
      <c r="C380" t="s">
        <v>282</v>
      </c>
      <c r="D380" t="s">
        <v>162</v>
      </c>
      <c r="F380" t="s">
        <v>145</v>
      </c>
    </row>
    <row r="381" spans="1:6">
      <c r="A381" t="s">
        <v>410</v>
      </c>
      <c r="B381" t="s">
        <v>158</v>
      </c>
      <c r="C381" t="s">
        <v>237</v>
      </c>
      <c r="D381" t="s">
        <v>162</v>
      </c>
      <c r="F381" t="s">
        <v>145</v>
      </c>
    </row>
    <row r="382" spans="1:6">
      <c r="A382" t="s">
        <v>410</v>
      </c>
      <c r="B382" t="s">
        <v>158</v>
      </c>
      <c r="C382" t="s">
        <v>350</v>
      </c>
      <c r="D382" t="s">
        <v>217</v>
      </c>
      <c r="F382" t="s">
        <v>145</v>
      </c>
    </row>
    <row r="383" spans="1:6">
      <c r="A383" t="s">
        <v>410</v>
      </c>
      <c r="B383" t="s">
        <v>158</v>
      </c>
      <c r="C383" t="s">
        <v>366</v>
      </c>
      <c r="D383" t="s">
        <v>217</v>
      </c>
      <c r="F383" t="s">
        <v>145</v>
      </c>
    </row>
    <row r="384" spans="1:6">
      <c r="A384" t="s">
        <v>442</v>
      </c>
      <c r="B384" t="s">
        <v>142</v>
      </c>
      <c r="C384" t="s">
        <v>412</v>
      </c>
      <c r="D384" t="s">
        <v>164</v>
      </c>
      <c r="F384" t="s">
        <v>145</v>
      </c>
    </row>
    <row r="385" spans="1:6">
      <c r="A385" t="s">
        <v>442</v>
      </c>
      <c r="B385" t="s">
        <v>142</v>
      </c>
      <c r="C385" t="s">
        <v>443</v>
      </c>
      <c r="D385" t="s">
        <v>144</v>
      </c>
      <c r="F385" t="s">
        <v>145</v>
      </c>
    </row>
    <row r="386" spans="1:6">
      <c r="A386" t="s">
        <v>442</v>
      </c>
      <c r="B386" t="s">
        <v>142</v>
      </c>
      <c r="C386" t="s">
        <v>444</v>
      </c>
      <c r="D386" t="s">
        <v>144</v>
      </c>
      <c r="F386" t="s">
        <v>145</v>
      </c>
    </row>
    <row r="387" spans="1:6">
      <c r="A387" t="s">
        <v>442</v>
      </c>
      <c r="B387" t="s">
        <v>142</v>
      </c>
      <c r="C387" t="s">
        <v>445</v>
      </c>
      <c r="D387" t="s">
        <v>144</v>
      </c>
      <c r="F387" t="s">
        <v>145</v>
      </c>
    </row>
    <row r="388" spans="1:6">
      <c r="A388" t="s">
        <v>442</v>
      </c>
      <c r="B388" t="s">
        <v>142</v>
      </c>
      <c r="C388" t="s">
        <v>446</v>
      </c>
      <c r="D388" t="s">
        <v>144</v>
      </c>
      <c r="F388" t="s">
        <v>145</v>
      </c>
    </row>
    <row r="389" spans="1:6">
      <c r="A389" t="s">
        <v>442</v>
      </c>
      <c r="B389" t="s">
        <v>149</v>
      </c>
      <c r="C389" t="s">
        <v>420</v>
      </c>
      <c r="D389" t="s">
        <v>164</v>
      </c>
      <c r="F389" t="s">
        <v>145</v>
      </c>
    </row>
    <row r="390" spans="1:6">
      <c r="A390" t="s">
        <v>442</v>
      </c>
      <c r="B390" t="s">
        <v>149</v>
      </c>
      <c r="C390" t="s">
        <v>447</v>
      </c>
      <c r="D390" t="s">
        <v>144</v>
      </c>
      <c r="F390" t="s">
        <v>145</v>
      </c>
    </row>
    <row r="391" spans="1:6">
      <c r="A391" t="s">
        <v>442</v>
      </c>
      <c r="B391" t="s">
        <v>149</v>
      </c>
      <c r="C391" t="s">
        <v>448</v>
      </c>
      <c r="D391" t="s">
        <v>144</v>
      </c>
      <c r="F391" t="s">
        <v>145</v>
      </c>
    </row>
    <row r="392" spans="1:6">
      <c r="A392" t="s">
        <v>442</v>
      </c>
      <c r="B392" t="s">
        <v>149</v>
      </c>
      <c r="C392" t="s">
        <v>449</v>
      </c>
      <c r="D392" t="s">
        <v>144</v>
      </c>
      <c r="F392" t="s">
        <v>145</v>
      </c>
    </row>
    <row r="393" spans="1:6">
      <c r="A393" t="s">
        <v>442</v>
      </c>
      <c r="B393" t="s">
        <v>149</v>
      </c>
      <c r="C393" t="s">
        <v>450</v>
      </c>
      <c r="D393" t="s">
        <v>144</v>
      </c>
      <c r="F393" t="s">
        <v>145</v>
      </c>
    </row>
    <row r="394" spans="1:6">
      <c r="A394" t="s">
        <v>442</v>
      </c>
      <c r="B394" t="s">
        <v>149</v>
      </c>
      <c r="C394" t="s">
        <v>451</v>
      </c>
      <c r="D394" t="s">
        <v>144</v>
      </c>
      <c r="F394" t="s">
        <v>145</v>
      </c>
    </row>
    <row r="395" spans="1:6">
      <c r="A395" t="s">
        <v>442</v>
      </c>
      <c r="B395" t="s">
        <v>149</v>
      </c>
      <c r="C395" t="s">
        <v>452</v>
      </c>
      <c r="D395" t="s">
        <v>144</v>
      </c>
      <c r="F395" t="s">
        <v>145</v>
      </c>
    </row>
    <row r="396" spans="1:6">
      <c r="A396" t="s">
        <v>442</v>
      </c>
      <c r="B396" t="s">
        <v>149</v>
      </c>
      <c r="C396" t="s">
        <v>453</v>
      </c>
      <c r="D396" t="s">
        <v>144</v>
      </c>
      <c r="F396" t="s">
        <v>145</v>
      </c>
    </row>
    <row r="397" spans="1:6">
      <c r="A397" t="s">
        <v>442</v>
      </c>
      <c r="B397" t="s">
        <v>153</v>
      </c>
      <c r="C397" t="s">
        <v>394</v>
      </c>
      <c r="D397" t="s">
        <v>164</v>
      </c>
      <c r="F397" t="s">
        <v>145</v>
      </c>
    </row>
    <row r="398" spans="1:6">
      <c r="A398" t="s">
        <v>442</v>
      </c>
      <c r="B398" t="s">
        <v>153</v>
      </c>
      <c r="C398" t="s">
        <v>454</v>
      </c>
      <c r="D398" t="s">
        <v>144</v>
      </c>
      <c r="F398" t="s">
        <v>145</v>
      </c>
    </row>
    <row r="399" spans="1:6">
      <c r="A399" t="s">
        <v>442</v>
      </c>
      <c r="B399" t="s">
        <v>153</v>
      </c>
      <c r="C399" t="s">
        <v>455</v>
      </c>
      <c r="D399" t="s">
        <v>144</v>
      </c>
      <c r="F399" t="s">
        <v>145</v>
      </c>
    </row>
    <row r="400" spans="1:6">
      <c r="A400" t="s">
        <v>442</v>
      </c>
      <c r="B400" t="s">
        <v>153</v>
      </c>
      <c r="C400" t="s">
        <v>456</v>
      </c>
      <c r="D400" t="s">
        <v>144</v>
      </c>
      <c r="F400" t="s">
        <v>145</v>
      </c>
    </row>
    <row r="401" spans="1:6">
      <c r="A401" t="s">
        <v>442</v>
      </c>
      <c r="B401" t="s">
        <v>311</v>
      </c>
      <c r="C401" t="s">
        <v>401</v>
      </c>
      <c r="D401" t="s">
        <v>164</v>
      </c>
      <c r="F401" t="s">
        <v>145</v>
      </c>
    </row>
    <row r="402" spans="1:6">
      <c r="A402" t="s">
        <v>442</v>
      </c>
      <c r="B402" t="s">
        <v>311</v>
      </c>
      <c r="C402" t="s">
        <v>457</v>
      </c>
      <c r="D402" t="s">
        <v>144</v>
      </c>
      <c r="F402" t="s">
        <v>145</v>
      </c>
    </row>
    <row r="403" spans="1:6">
      <c r="A403" t="s">
        <v>442</v>
      </c>
      <c r="B403" t="s">
        <v>311</v>
      </c>
      <c r="C403" t="s">
        <v>458</v>
      </c>
      <c r="D403" t="s">
        <v>144</v>
      </c>
      <c r="F403" t="s">
        <v>145</v>
      </c>
    </row>
    <row r="404" spans="1:6">
      <c r="A404" t="s">
        <v>442</v>
      </c>
      <c r="B404" t="s">
        <v>311</v>
      </c>
      <c r="C404" t="s">
        <v>459</v>
      </c>
      <c r="D404" t="s">
        <v>144</v>
      </c>
      <c r="F404" t="s">
        <v>145</v>
      </c>
    </row>
    <row r="405" spans="1:6">
      <c r="A405" t="s">
        <v>442</v>
      </c>
      <c r="B405" t="s">
        <v>311</v>
      </c>
      <c r="C405" t="s">
        <v>460</v>
      </c>
      <c r="D405" t="s">
        <v>144</v>
      </c>
      <c r="F405" t="s">
        <v>145</v>
      </c>
    </row>
    <row r="406" spans="1:6">
      <c r="A406" t="s">
        <v>442</v>
      </c>
      <c r="B406" t="s">
        <v>461</v>
      </c>
      <c r="C406" t="s">
        <v>428</v>
      </c>
      <c r="D406" t="s">
        <v>164</v>
      </c>
      <c r="F406" t="s">
        <v>145</v>
      </c>
    </row>
    <row r="407" spans="1:6">
      <c r="A407" t="s">
        <v>442</v>
      </c>
      <c r="B407" t="s">
        <v>461</v>
      </c>
      <c r="C407" t="s">
        <v>462</v>
      </c>
      <c r="D407" t="s">
        <v>144</v>
      </c>
      <c r="F407" t="s">
        <v>145</v>
      </c>
    </row>
    <row r="408" spans="1:6">
      <c r="A408" t="s">
        <v>442</v>
      </c>
      <c r="B408" t="s">
        <v>461</v>
      </c>
      <c r="C408" t="s">
        <v>463</v>
      </c>
      <c r="D408" t="s">
        <v>144</v>
      </c>
      <c r="F408" t="s">
        <v>145</v>
      </c>
    </row>
    <row r="409" spans="1:6">
      <c r="A409" t="s">
        <v>442</v>
      </c>
      <c r="B409" t="s">
        <v>461</v>
      </c>
      <c r="C409" t="s">
        <v>464</v>
      </c>
      <c r="D409" t="s">
        <v>144</v>
      </c>
      <c r="F409" t="s">
        <v>145</v>
      </c>
    </row>
    <row r="410" spans="1:6">
      <c r="A410" t="s">
        <v>442</v>
      </c>
      <c r="B410" t="s">
        <v>461</v>
      </c>
      <c r="C410" t="s">
        <v>465</v>
      </c>
      <c r="D410" t="s">
        <v>144</v>
      </c>
      <c r="F410" t="s">
        <v>145</v>
      </c>
    </row>
    <row r="411" spans="1:6">
      <c r="A411" t="s">
        <v>442</v>
      </c>
      <c r="B411" t="s">
        <v>337</v>
      </c>
      <c r="C411" t="s">
        <v>437</v>
      </c>
      <c r="D411" t="s">
        <v>164</v>
      </c>
      <c r="F411" t="s">
        <v>337</v>
      </c>
    </row>
    <row r="412" spans="1:6">
      <c r="A412" t="s">
        <v>442</v>
      </c>
      <c r="B412" t="s">
        <v>337</v>
      </c>
      <c r="C412" t="s">
        <v>466</v>
      </c>
      <c r="D412" t="s">
        <v>144</v>
      </c>
      <c r="F412" t="s">
        <v>337</v>
      </c>
    </row>
    <row r="413" spans="1:6">
      <c r="A413" t="s">
        <v>442</v>
      </c>
      <c r="B413" t="s">
        <v>337</v>
      </c>
      <c r="C413" t="s">
        <v>467</v>
      </c>
      <c r="D413" t="s">
        <v>144</v>
      </c>
      <c r="F413" t="s">
        <v>337</v>
      </c>
    </row>
    <row r="414" spans="1:6">
      <c r="A414" t="s">
        <v>442</v>
      </c>
      <c r="B414" t="s">
        <v>337</v>
      </c>
      <c r="C414" t="s">
        <v>468</v>
      </c>
      <c r="D414" t="s">
        <v>144</v>
      </c>
      <c r="F414" t="s">
        <v>337</v>
      </c>
    </row>
    <row r="415" spans="1:6">
      <c r="A415" t="s">
        <v>442</v>
      </c>
      <c r="B415" t="s">
        <v>337</v>
      </c>
      <c r="C415" t="s">
        <v>469</v>
      </c>
      <c r="D415" t="s">
        <v>144</v>
      </c>
      <c r="F415" t="s">
        <v>337</v>
      </c>
    </row>
    <row r="416" spans="1:6">
      <c r="A416" t="s">
        <v>442</v>
      </c>
      <c r="B416" t="s">
        <v>337</v>
      </c>
      <c r="C416" t="s">
        <v>470</v>
      </c>
      <c r="D416" t="s">
        <v>144</v>
      </c>
      <c r="F416" t="s">
        <v>337</v>
      </c>
    </row>
    <row r="417" spans="1:6" ht="15.95">
      <c r="A417" t="s">
        <v>442</v>
      </c>
      <c r="B417" t="s">
        <v>384</v>
      </c>
      <c r="C417" s="3" t="s">
        <v>441</v>
      </c>
      <c r="D417" t="s">
        <v>164</v>
      </c>
      <c r="F417" t="s">
        <v>145</v>
      </c>
    </row>
    <row r="418" spans="1:6" ht="15.75" customHeight="1">
      <c r="A418" t="s">
        <v>442</v>
      </c>
      <c r="B418" t="s">
        <v>384</v>
      </c>
      <c r="C418" s="3" t="s">
        <v>471</v>
      </c>
      <c r="D418" t="s">
        <v>144</v>
      </c>
      <c r="F418" t="s">
        <v>145</v>
      </c>
    </row>
    <row r="419" spans="1:6">
      <c r="A419" t="s">
        <v>442</v>
      </c>
      <c r="B419" t="s">
        <v>384</v>
      </c>
      <c r="C419" t="s">
        <v>472</v>
      </c>
      <c r="D419" t="s">
        <v>144</v>
      </c>
      <c r="F419" t="s">
        <v>145</v>
      </c>
    </row>
    <row r="420" spans="1:6">
      <c r="A420" t="s">
        <v>442</v>
      </c>
      <c r="B420" t="s">
        <v>158</v>
      </c>
      <c r="C420" t="s">
        <v>257</v>
      </c>
      <c r="D420" t="s">
        <v>160</v>
      </c>
      <c r="F420" t="s">
        <v>145</v>
      </c>
    </row>
    <row r="421" spans="1:6">
      <c r="A421" t="s">
        <v>442</v>
      </c>
      <c r="B421" t="s">
        <v>158</v>
      </c>
      <c r="C421" t="s">
        <v>408</v>
      </c>
      <c r="D421" t="s">
        <v>409</v>
      </c>
      <c r="F421" t="s">
        <v>145</v>
      </c>
    </row>
    <row r="422" spans="1:6">
      <c r="A422" t="s">
        <v>442</v>
      </c>
      <c r="B422" t="s">
        <v>158</v>
      </c>
      <c r="C422" t="s">
        <v>282</v>
      </c>
      <c r="D422" t="s">
        <v>473</v>
      </c>
      <c r="F422" t="s">
        <v>145</v>
      </c>
    </row>
    <row r="423" spans="1:6">
      <c r="A423" t="s">
        <v>442</v>
      </c>
      <c r="B423" t="s">
        <v>158</v>
      </c>
      <c r="C423" t="s">
        <v>237</v>
      </c>
      <c r="D423" t="s">
        <v>409</v>
      </c>
      <c r="F423" t="s">
        <v>145</v>
      </c>
    </row>
    <row r="424" spans="1:6">
      <c r="A424" t="s">
        <v>442</v>
      </c>
      <c r="B424" t="s">
        <v>158</v>
      </c>
      <c r="C424" t="s">
        <v>350</v>
      </c>
      <c r="D424" t="s">
        <v>217</v>
      </c>
      <c r="F424" t="s">
        <v>145</v>
      </c>
    </row>
    <row r="425" spans="1:6">
      <c r="A425" t="s">
        <v>442</v>
      </c>
      <c r="B425" t="s">
        <v>158</v>
      </c>
      <c r="C425" t="s">
        <v>375</v>
      </c>
      <c r="D425" t="s">
        <v>217</v>
      </c>
      <c r="F425" t="s">
        <v>145</v>
      </c>
    </row>
    <row r="426" spans="1:6">
      <c r="A426" t="s">
        <v>474</v>
      </c>
      <c r="B426" t="s">
        <v>142</v>
      </c>
      <c r="C426" t="s">
        <v>446</v>
      </c>
      <c r="D426" t="s">
        <v>164</v>
      </c>
      <c r="F426" t="s">
        <v>145</v>
      </c>
    </row>
    <row r="427" spans="1:6">
      <c r="A427" t="s">
        <v>474</v>
      </c>
      <c r="B427" t="s">
        <v>142</v>
      </c>
      <c r="C427" t="s">
        <v>447</v>
      </c>
      <c r="D427" t="s">
        <v>164</v>
      </c>
      <c r="F427" t="s">
        <v>145</v>
      </c>
    </row>
    <row r="428" spans="1:6">
      <c r="A428" t="s">
        <v>474</v>
      </c>
      <c r="B428" t="s">
        <v>142</v>
      </c>
      <c r="C428" t="s">
        <v>475</v>
      </c>
      <c r="D428" t="s">
        <v>144</v>
      </c>
      <c r="F428" t="s">
        <v>145</v>
      </c>
    </row>
    <row r="429" spans="1:6">
      <c r="A429" t="s">
        <v>474</v>
      </c>
      <c r="B429" t="s">
        <v>142</v>
      </c>
      <c r="C429" t="s">
        <v>476</v>
      </c>
      <c r="D429" t="s">
        <v>144</v>
      </c>
      <c r="F429" t="s">
        <v>145</v>
      </c>
    </row>
    <row r="430" spans="1:6">
      <c r="A430" t="s">
        <v>474</v>
      </c>
      <c r="B430" t="s">
        <v>142</v>
      </c>
      <c r="C430" t="s">
        <v>477</v>
      </c>
      <c r="D430" t="s">
        <v>144</v>
      </c>
      <c r="F430" t="s">
        <v>145</v>
      </c>
    </row>
    <row r="431" spans="1:6">
      <c r="A431" t="s">
        <v>474</v>
      </c>
      <c r="B431" t="s">
        <v>142</v>
      </c>
      <c r="C431" t="s">
        <v>478</v>
      </c>
      <c r="D431" t="s">
        <v>144</v>
      </c>
      <c r="F431" t="s">
        <v>145</v>
      </c>
    </row>
    <row r="432" spans="1:6">
      <c r="A432" t="s">
        <v>474</v>
      </c>
      <c r="B432" t="s">
        <v>142</v>
      </c>
      <c r="C432" t="s">
        <v>479</v>
      </c>
      <c r="D432" t="s">
        <v>144</v>
      </c>
      <c r="F432" t="s">
        <v>145</v>
      </c>
    </row>
    <row r="433" spans="1:6">
      <c r="A433" t="s">
        <v>474</v>
      </c>
      <c r="B433" t="s">
        <v>142</v>
      </c>
      <c r="C433" t="s">
        <v>480</v>
      </c>
      <c r="D433" t="s">
        <v>144</v>
      </c>
      <c r="F433" t="s">
        <v>145</v>
      </c>
    </row>
    <row r="434" spans="1:6">
      <c r="A434" t="s">
        <v>474</v>
      </c>
      <c r="B434" t="s">
        <v>142</v>
      </c>
      <c r="C434" t="s">
        <v>481</v>
      </c>
      <c r="D434" t="s">
        <v>144</v>
      </c>
      <c r="F434" t="s">
        <v>145</v>
      </c>
    </row>
    <row r="435" spans="1:6">
      <c r="A435" t="s">
        <v>474</v>
      </c>
      <c r="B435" t="s">
        <v>142</v>
      </c>
      <c r="C435" t="s">
        <v>482</v>
      </c>
      <c r="D435" t="s">
        <v>144</v>
      </c>
      <c r="F435" t="s">
        <v>145</v>
      </c>
    </row>
    <row r="436" spans="1:6">
      <c r="A436" t="s">
        <v>474</v>
      </c>
      <c r="B436" t="s">
        <v>149</v>
      </c>
      <c r="C436" t="s">
        <v>454</v>
      </c>
      <c r="D436" t="s">
        <v>164</v>
      </c>
      <c r="F436" t="s">
        <v>145</v>
      </c>
    </row>
    <row r="437" spans="1:6">
      <c r="A437" t="s">
        <v>474</v>
      </c>
      <c r="B437" t="s">
        <v>149</v>
      </c>
      <c r="C437" t="s">
        <v>483</v>
      </c>
      <c r="D437" t="s">
        <v>144</v>
      </c>
      <c r="F437" t="s">
        <v>145</v>
      </c>
    </row>
    <row r="438" spans="1:6">
      <c r="A438" t="s">
        <v>474</v>
      </c>
      <c r="B438" t="s">
        <v>149</v>
      </c>
      <c r="C438" t="s">
        <v>484</v>
      </c>
      <c r="D438" t="s">
        <v>144</v>
      </c>
      <c r="F438" t="s">
        <v>145</v>
      </c>
    </row>
    <row r="439" spans="1:6">
      <c r="A439" t="s">
        <v>474</v>
      </c>
      <c r="B439" t="s">
        <v>149</v>
      </c>
      <c r="C439" t="s">
        <v>485</v>
      </c>
      <c r="D439" t="s">
        <v>144</v>
      </c>
      <c r="F439" t="s">
        <v>145</v>
      </c>
    </row>
    <row r="440" spans="1:6">
      <c r="A440" t="s">
        <v>474</v>
      </c>
      <c r="B440" t="s">
        <v>149</v>
      </c>
      <c r="C440" t="s">
        <v>486</v>
      </c>
      <c r="D440" t="s">
        <v>144</v>
      </c>
      <c r="F440" t="s">
        <v>145</v>
      </c>
    </row>
    <row r="441" spans="1:6">
      <c r="A441" t="s">
        <v>474</v>
      </c>
      <c r="B441" t="s">
        <v>153</v>
      </c>
      <c r="C441" t="s">
        <v>400</v>
      </c>
      <c r="D441" t="s">
        <v>164</v>
      </c>
      <c r="F441" t="s">
        <v>145</v>
      </c>
    </row>
    <row r="442" spans="1:6">
      <c r="A442" t="s">
        <v>474</v>
      </c>
      <c r="B442" t="s">
        <v>153</v>
      </c>
      <c r="C442" t="s">
        <v>487</v>
      </c>
      <c r="D442" t="s">
        <v>144</v>
      </c>
      <c r="F442" t="s">
        <v>145</v>
      </c>
    </row>
    <row r="443" spans="1:6">
      <c r="A443" t="s">
        <v>474</v>
      </c>
      <c r="B443" t="s">
        <v>153</v>
      </c>
      <c r="C443" t="s">
        <v>488</v>
      </c>
      <c r="D443" t="s">
        <v>144</v>
      </c>
      <c r="F443" t="s">
        <v>145</v>
      </c>
    </row>
    <row r="444" spans="1:6">
      <c r="A444" t="s">
        <v>474</v>
      </c>
      <c r="B444" t="s">
        <v>311</v>
      </c>
      <c r="C444" t="s">
        <v>459</v>
      </c>
      <c r="D444" t="s">
        <v>164</v>
      </c>
      <c r="F444" t="s">
        <v>145</v>
      </c>
    </row>
    <row r="445" spans="1:6">
      <c r="A445" t="s">
        <v>474</v>
      </c>
      <c r="B445" t="s">
        <v>311</v>
      </c>
      <c r="C445" t="s">
        <v>489</v>
      </c>
      <c r="D445" t="s">
        <v>144</v>
      </c>
      <c r="F445" t="s">
        <v>145</v>
      </c>
    </row>
    <row r="446" spans="1:6">
      <c r="A446" t="s">
        <v>474</v>
      </c>
      <c r="B446" t="s">
        <v>311</v>
      </c>
      <c r="C446" t="s">
        <v>490</v>
      </c>
      <c r="D446" t="s">
        <v>144</v>
      </c>
      <c r="F446" t="s">
        <v>145</v>
      </c>
    </row>
    <row r="447" spans="1:6">
      <c r="A447" t="s">
        <v>474</v>
      </c>
      <c r="B447" t="s">
        <v>311</v>
      </c>
      <c r="C447" t="s">
        <v>491</v>
      </c>
      <c r="D447" t="s">
        <v>144</v>
      </c>
      <c r="F447" t="s">
        <v>145</v>
      </c>
    </row>
    <row r="448" spans="1:6">
      <c r="A448" t="s">
        <v>474</v>
      </c>
      <c r="B448" t="s">
        <v>311</v>
      </c>
      <c r="C448" t="s">
        <v>492</v>
      </c>
      <c r="D448" t="s">
        <v>144</v>
      </c>
      <c r="F448" t="s">
        <v>145</v>
      </c>
    </row>
    <row r="449" spans="1:6">
      <c r="A449" t="s">
        <v>474</v>
      </c>
      <c r="B449" t="s">
        <v>337</v>
      </c>
      <c r="C449" t="s">
        <v>433</v>
      </c>
      <c r="D449" t="s">
        <v>164</v>
      </c>
      <c r="F449" t="s">
        <v>337</v>
      </c>
    </row>
    <row r="450" spans="1:6">
      <c r="A450" t="s">
        <v>474</v>
      </c>
      <c r="B450" t="s">
        <v>337</v>
      </c>
      <c r="C450" t="s">
        <v>69</v>
      </c>
      <c r="D450" t="s">
        <v>144</v>
      </c>
      <c r="F450" t="s">
        <v>337</v>
      </c>
    </row>
    <row r="451" spans="1:6">
      <c r="A451" t="s">
        <v>474</v>
      </c>
      <c r="B451" t="s">
        <v>337</v>
      </c>
      <c r="C451" t="s">
        <v>493</v>
      </c>
      <c r="D451" t="s">
        <v>144</v>
      </c>
      <c r="F451" t="s">
        <v>337</v>
      </c>
    </row>
    <row r="452" spans="1:6">
      <c r="A452" t="s">
        <v>474</v>
      </c>
      <c r="B452" t="s">
        <v>337</v>
      </c>
      <c r="C452" t="s">
        <v>494</v>
      </c>
      <c r="D452" t="s">
        <v>144</v>
      </c>
      <c r="F452" t="s">
        <v>337</v>
      </c>
    </row>
    <row r="453" spans="1:6">
      <c r="A453" t="s">
        <v>474</v>
      </c>
      <c r="B453" t="s">
        <v>384</v>
      </c>
      <c r="C453" t="s">
        <v>495</v>
      </c>
      <c r="D453" t="s">
        <v>164</v>
      </c>
      <c r="F453" t="s">
        <v>145</v>
      </c>
    </row>
    <row r="454" spans="1:6">
      <c r="A454" t="s">
        <v>474</v>
      </c>
      <c r="B454" t="s">
        <v>384</v>
      </c>
      <c r="C454" t="s">
        <v>496</v>
      </c>
      <c r="D454" t="s">
        <v>144</v>
      </c>
      <c r="F454" t="s">
        <v>145</v>
      </c>
    </row>
    <row r="455" spans="1:6">
      <c r="A455" t="s">
        <v>474</v>
      </c>
      <c r="B455" t="s">
        <v>384</v>
      </c>
      <c r="C455" t="s">
        <v>497</v>
      </c>
      <c r="D455" t="s">
        <v>144</v>
      </c>
      <c r="F455" t="s">
        <v>145</v>
      </c>
    </row>
    <row r="456" spans="1:6">
      <c r="A456" t="s">
        <v>474</v>
      </c>
      <c r="B456" t="s">
        <v>384</v>
      </c>
      <c r="C456" t="s">
        <v>498</v>
      </c>
      <c r="D456" t="s">
        <v>144</v>
      </c>
      <c r="F456" t="s">
        <v>145</v>
      </c>
    </row>
    <row r="457" spans="1:6">
      <c r="A457" t="s">
        <v>474</v>
      </c>
      <c r="B457" t="s">
        <v>158</v>
      </c>
      <c r="C457" t="s">
        <v>257</v>
      </c>
      <c r="D457" t="s">
        <v>160</v>
      </c>
      <c r="F457" t="s">
        <v>145</v>
      </c>
    </row>
    <row r="458" spans="1:6">
      <c r="A458" t="s">
        <v>474</v>
      </c>
      <c r="B458" t="s">
        <v>158</v>
      </c>
      <c r="C458" t="s">
        <v>408</v>
      </c>
      <c r="D458" t="s">
        <v>409</v>
      </c>
      <c r="F458" t="s">
        <v>145</v>
      </c>
    </row>
    <row r="459" spans="1:6">
      <c r="A459" t="s">
        <v>474</v>
      </c>
      <c r="B459" t="s">
        <v>158</v>
      </c>
      <c r="C459" t="s">
        <v>282</v>
      </c>
      <c r="D459" t="s">
        <v>473</v>
      </c>
      <c r="F459" t="s">
        <v>145</v>
      </c>
    </row>
    <row r="460" spans="1:6">
      <c r="A460" t="s">
        <v>474</v>
      </c>
      <c r="B460" t="s">
        <v>158</v>
      </c>
      <c r="C460" t="s">
        <v>237</v>
      </c>
      <c r="D460" t="s">
        <v>409</v>
      </c>
      <c r="F460" t="s">
        <v>145</v>
      </c>
    </row>
    <row r="461" spans="1:6">
      <c r="A461" t="s">
        <v>474</v>
      </c>
      <c r="B461" t="s">
        <v>158</v>
      </c>
      <c r="C461" t="s">
        <v>350</v>
      </c>
      <c r="D461" t="s">
        <v>217</v>
      </c>
      <c r="F461" t="s">
        <v>145</v>
      </c>
    </row>
    <row r="462" spans="1:6">
      <c r="A462" t="s">
        <v>474</v>
      </c>
      <c r="B462" t="s">
        <v>158</v>
      </c>
      <c r="C462" t="s">
        <v>375</v>
      </c>
      <c r="D462" t="s">
        <v>217</v>
      </c>
      <c r="F462" t="s">
        <v>145</v>
      </c>
    </row>
    <row r="463" spans="1:6">
      <c r="A463" t="s">
        <v>499</v>
      </c>
      <c r="B463" t="s">
        <v>142</v>
      </c>
      <c r="C463" t="s">
        <v>476</v>
      </c>
      <c r="D463" t="s">
        <v>164</v>
      </c>
      <c r="F463" t="s">
        <v>145</v>
      </c>
    </row>
    <row r="464" spans="1:6">
      <c r="A464" t="s">
        <v>499</v>
      </c>
      <c r="B464" t="s">
        <v>142</v>
      </c>
      <c r="C464" t="s">
        <v>500</v>
      </c>
      <c r="D464" t="s">
        <v>144</v>
      </c>
      <c r="F464" t="s">
        <v>145</v>
      </c>
    </row>
    <row r="465" spans="1:6">
      <c r="A465" t="s">
        <v>499</v>
      </c>
      <c r="B465" t="s">
        <v>142</v>
      </c>
      <c r="C465" t="s">
        <v>501</v>
      </c>
      <c r="D465" t="s">
        <v>144</v>
      </c>
      <c r="F465" t="s">
        <v>145</v>
      </c>
    </row>
    <row r="466" spans="1:6">
      <c r="A466" t="s">
        <v>499</v>
      </c>
      <c r="B466" t="s">
        <v>142</v>
      </c>
      <c r="C466" t="s">
        <v>502</v>
      </c>
      <c r="D466" t="s">
        <v>144</v>
      </c>
      <c r="F466" t="s">
        <v>145</v>
      </c>
    </row>
    <row r="467" spans="1:6">
      <c r="A467" t="s">
        <v>499</v>
      </c>
      <c r="B467" t="s">
        <v>149</v>
      </c>
      <c r="C467" t="s">
        <v>451</v>
      </c>
      <c r="D467" t="s">
        <v>164</v>
      </c>
      <c r="F467" t="s">
        <v>145</v>
      </c>
    </row>
    <row r="468" spans="1:6">
      <c r="A468" t="s">
        <v>499</v>
      </c>
      <c r="B468" t="s">
        <v>149</v>
      </c>
      <c r="C468" t="s">
        <v>489</v>
      </c>
      <c r="D468" t="s">
        <v>164</v>
      </c>
      <c r="F468" t="s">
        <v>145</v>
      </c>
    </row>
    <row r="469" spans="1:6">
      <c r="A469" t="s">
        <v>499</v>
      </c>
      <c r="B469" t="s">
        <v>149</v>
      </c>
      <c r="C469" t="s">
        <v>503</v>
      </c>
      <c r="D469" t="s">
        <v>144</v>
      </c>
      <c r="F469" t="s">
        <v>145</v>
      </c>
    </row>
    <row r="470" spans="1:6">
      <c r="A470" t="s">
        <v>499</v>
      </c>
      <c r="B470" t="s">
        <v>149</v>
      </c>
      <c r="C470" t="s">
        <v>504</v>
      </c>
      <c r="D470" t="s">
        <v>144</v>
      </c>
      <c r="F470" t="s">
        <v>145</v>
      </c>
    </row>
    <row r="471" spans="1:6">
      <c r="A471" t="s">
        <v>499</v>
      </c>
      <c r="B471" t="s">
        <v>149</v>
      </c>
      <c r="C471" t="s">
        <v>505</v>
      </c>
      <c r="D471" t="s">
        <v>144</v>
      </c>
      <c r="F471" t="s">
        <v>145</v>
      </c>
    </row>
    <row r="472" spans="1:6">
      <c r="A472" t="s">
        <v>499</v>
      </c>
      <c r="B472" t="s">
        <v>149</v>
      </c>
      <c r="C472" t="s">
        <v>506</v>
      </c>
      <c r="D472" t="s">
        <v>144</v>
      </c>
      <c r="F472" t="s">
        <v>145</v>
      </c>
    </row>
    <row r="473" spans="1:6">
      <c r="A473" t="s">
        <v>499</v>
      </c>
      <c r="B473" t="s">
        <v>149</v>
      </c>
      <c r="C473" t="s">
        <v>507</v>
      </c>
      <c r="D473" t="s">
        <v>144</v>
      </c>
      <c r="F473" t="s">
        <v>145</v>
      </c>
    </row>
    <row r="474" spans="1:6">
      <c r="A474" t="s">
        <v>499</v>
      </c>
      <c r="B474" t="s">
        <v>149</v>
      </c>
      <c r="C474" t="s">
        <v>508</v>
      </c>
      <c r="D474" t="s">
        <v>144</v>
      </c>
      <c r="F474" t="s">
        <v>145</v>
      </c>
    </row>
    <row r="475" spans="1:6">
      <c r="A475" t="s">
        <v>499</v>
      </c>
      <c r="B475" t="s">
        <v>149</v>
      </c>
      <c r="C475" t="s">
        <v>509</v>
      </c>
      <c r="D475" t="s">
        <v>144</v>
      </c>
      <c r="F475" t="s">
        <v>145</v>
      </c>
    </row>
    <row r="476" spans="1:6">
      <c r="A476" t="s">
        <v>499</v>
      </c>
      <c r="B476" t="s">
        <v>149</v>
      </c>
      <c r="C476" t="s">
        <v>510</v>
      </c>
      <c r="D476" t="s">
        <v>144</v>
      </c>
      <c r="F476" t="s">
        <v>145</v>
      </c>
    </row>
    <row r="477" spans="1:6">
      <c r="A477" t="s">
        <v>499</v>
      </c>
      <c r="B477" t="s">
        <v>153</v>
      </c>
      <c r="C477" t="s">
        <v>490</v>
      </c>
      <c r="D477" t="s">
        <v>164</v>
      </c>
      <c r="F477" t="s">
        <v>145</v>
      </c>
    </row>
    <row r="478" spans="1:6">
      <c r="A478" t="s">
        <v>499</v>
      </c>
      <c r="B478" t="s">
        <v>153</v>
      </c>
      <c r="C478" t="s">
        <v>511</v>
      </c>
      <c r="D478" t="s">
        <v>144</v>
      </c>
      <c r="F478" t="s">
        <v>145</v>
      </c>
    </row>
    <row r="479" spans="1:6">
      <c r="A479" t="s">
        <v>499</v>
      </c>
      <c r="B479" t="s">
        <v>153</v>
      </c>
      <c r="C479" t="s">
        <v>512</v>
      </c>
      <c r="D479" t="s">
        <v>144</v>
      </c>
      <c r="F479" t="s">
        <v>145</v>
      </c>
    </row>
    <row r="480" spans="1:6">
      <c r="A480" t="s">
        <v>499</v>
      </c>
      <c r="B480" t="s">
        <v>153</v>
      </c>
      <c r="C480" t="s">
        <v>513</v>
      </c>
      <c r="D480" t="s">
        <v>144</v>
      </c>
      <c r="F480" t="s">
        <v>145</v>
      </c>
    </row>
    <row r="481" spans="1:6">
      <c r="A481" t="s">
        <v>499</v>
      </c>
      <c r="B481" t="s">
        <v>153</v>
      </c>
      <c r="C481" t="s">
        <v>514</v>
      </c>
      <c r="D481" t="s">
        <v>144</v>
      </c>
      <c r="F481" t="s">
        <v>145</v>
      </c>
    </row>
    <row r="482" spans="1:6">
      <c r="A482" t="s">
        <v>499</v>
      </c>
      <c r="B482" t="s">
        <v>311</v>
      </c>
      <c r="C482" t="s">
        <v>486</v>
      </c>
      <c r="D482" t="s">
        <v>164</v>
      </c>
      <c r="F482" t="s">
        <v>145</v>
      </c>
    </row>
    <row r="483" spans="1:6">
      <c r="A483" t="s">
        <v>499</v>
      </c>
      <c r="B483" t="s">
        <v>311</v>
      </c>
      <c r="C483" t="s">
        <v>515</v>
      </c>
      <c r="D483" t="s">
        <v>144</v>
      </c>
      <c r="F483" t="s">
        <v>145</v>
      </c>
    </row>
    <row r="484" spans="1:6">
      <c r="A484" t="s">
        <v>499</v>
      </c>
      <c r="B484" t="s">
        <v>311</v>
      </c>
      <c r="C484" t="s">
        <v>516</v>
      </c>
      <c r="D484" t="s">
        <v>144</v>
      </c>
      <c r="F484" t="s">
        <v>145</v>
      </c>
    </row>
    <row r="485" spans="1:6">
      <c r="A485" t="s">
        <v>499</v>
      </c>
      <c r="B485" t="s">
        <v>311</v>
      </c>
      <c r="C485" t="s">
        <v>19</v>
      </c>
      <c r="D485" t="s">
        <v>144</v>
      </c>
      <c r="F485" t="s">
        <v>145</v>
      </c>
    </row>
    <row r="486" spans="1:6">
      <c r="A486" t="s">
        <v>499</v>
      </c>
      <c r="B486" t="s">
        <v>311</v>
      </c>
      <c r="C486" t="s">
        <v>517</v>
      </c>
      <c r="D486" t="s">
        <v>144</v>
      </c>
      <c r="F486" t="s">
        <v>145</v>
      </c>
    </row>
    <row r="487" spans="1:6">
      <c r="A487" t="s">
        <v>499</v>
      </c>
      <c r="B487" t="s">
        <v>337</v>
      </c>
      <c r="C487" t="s">
        <v>494</v>
      </c>
      <c r="D487" t="s">
        <v>164</v>
      </c>
      <c r="F487" t="s">
        <v>337</v>
      </c>
    </row>
    <row r="488" spans="1:6">
      <c r="A488" t="s">
        <v>499</v>
      </c>
      <c r="B488" t="s">
        <v>337</v>
      </c>
      <c r="C488" t="s">
        <v>518</v>
      </c>
      <c r="D488" t="s">
        <v>144</v>
      </c>
      <c r="F488" t="s">
        <v>337</v>
      </c>
    </row>
    <row r="489" spans="1:6">
      <c r="A489" t="s">
        <v>499</v>
      </c>
      <c r="B489" t="s">
        <v>337</v>
      </c>
      <c r="C489" t="s">
        <v>519</v>
      </c>
      <c r="D489" t="s">
        <v>144</v>
      </c>
      <c r="F489" t="s">
        <v>337</v>
      </c>
    </row>
    <row r="490" spans="1:6">
      <c r="A490" t="s">
        <v>499</v>
      </c>
      <c r="B490" t="s">
        <v>337</v>
      </c>
      <c r="C490" t="s">
        <v>520</v>
      </c>
      <c r="D490" t="s">
        <v>144</v>
      </c>
      <c r="F490" t="s">
        <v>337</v>
      </c>
    </row>
    <row r="491" spans="1:6">
      <c r="A491" t="s">
        <v>499</v>
      </c>
      <c r="B491" t="s">
        <v>384</v>
      </c>
      <c r="C491" t="s">
        <v>497</v>
      </c>
      <c r="D491" t="s">
        <v>164</v>
      </c>
      <c r="F491" t="s">
        <v>145</v>
      </c>
    </row>
    <row r="492" spans="1:6">
      <c r="A492" t="s">
        <v>499</v>
      </c>
      <c r="B492" t="s">
        <v>384</v>
      </c>
      <c r="C492" t="s">
        <v>521</v>
      </c>
      <c r="D492" t="s">
        <v>144</v>
      </c>
      <c r="F492" t="s">
        <v>145</v>
      </c>
    </row>
    <row r="493" spans="1:6">
      <c r="A493" t="s">
        <v>499</v>
      </c>
      <c r="B493" t="s">
        <v>384</v>
      </c>
      <c r="C493" t="s">
        <v>522</v>
      </c>
      <c r="D493" t="s">
        <v>144</v>
      </c>
      <c r="F493" t="s">
        <v>145</v>
      </c>
    </row>
    <row r="494" spans="1:6">
      <c r="A494" t="s">
        <v>499</v>
      </c>
      <c r="B494" t="s">
        <v>384</v>
      </c>
      <c r="C494" t="s">
        <v>523</v>
      </c>
      <c r="D494" t="s">
        <v>144</v>
      </c>
      <c r="F494" t="s">
        <v>145</v>
      </c>
    </row>
    <row r="495" spans="1:6">
      <c r="A495" t="s">
        <v>499</v>
      </c>
      <c r="B495" t="s">
        <v>384</v>
      </c>
      <c r="C495" t="s">
        <v>524</v>
      </c>
      <c r="D495" t="s">
        <v>144</v>
      </c>
      <c r="F495" t="s">
        <v>145</v>
      </c>
    </row>
    <row r="496" spans="1:6">
      <c r="A496" t="s">
        <v>499</v>
      </c>
      <c r="B496" t="s">
        <v>158</v>
      </c>
      <c r="C496" t="s">
        <v>257</v>
      </c>
      <c r="D496" t="s">
        <v>160</v>
      </c>
      <c r="F496" t="s">
        <v>145</v>
      </c>
    </row>
    <row r="497" spans="1:6">
      <c r="A497" t="s">
        <v>499</v>
      </c>
      <c r="B497" t="s">
        <v>158</v>
      </c>
      <c r="C497" t="s">
        <v>408</v>
      </c>
      <c r="D497" t="s">
        <v>409</v>
      </c>
      <c r="F497" t="s">
        <v>145</v>
      </c>
    </row>
    <row r="498" spans="1:6">
      <c r="A498" t="s">
        <v>499</v>
      </c>
      <c r="B498" t="s">
        <v>158</v>
      </c>
      <c r="C498" t="s">
        <v>282</v>
      </c>
      <c r="D498" t="s">
        <v>473</v>
      </c>
      <c r="F498" t="s">
        <v>145</v>
      </c>
    </row>
    <row r="499" spans="1:6">
      <c r="A499" t="s">
        <v>499</v>
      </c>
      <c r="B499" t="s">
        <v>158</v>
      </c>
      <c r="C499" t="s">
        <v>350</v>
      </c>
      <c r="D499" t="s">
        <v>162</v>
      </c>
      <c r="F499" t="s">
        <v>145</v>
      </c>
    </row>
    <row r="500" spans="1:6">
      <c r="A500" t="s">
        <v>499</v>
      </c>
      <c r="B500" t="s">
        <v>158</v>
      </c>
      <c r="C500" t="s">
        <v>69</v>
      </c>
      <c r="D500" t="s">
        <v>217</v>
      </c>
      <c r="F500" t="s">
        <v>145</v>
      </c>
    </row>
    <row r="501" spans="1:6">
      <c r="A501" t="s">
        <v>499</v>
      </c>
      <c r="B501" t="s">
        <v>158</v>
      </c>
      <c r="C501" t="s">
        <v>375</v>
      </c>
      <c r="D501" t="s">
        <v>217</v>
      </c>
      <c r="F501" t="s">
        <v>145</v>
      </c>
    </row>
    <row r="502" spans="1:6">
      <c r="A502" t="s">
        <v>21</v>
      </c>
      <c r="B502" t="s">
        <v>525</v>
      </c>
      <c r="C502" t="s">
        <v>492</v>
      </c>
      <c r="D502" t="s">
        <v>164</v>
      </c>
      <c r="E502" t="s">
        <v>526</v>
      </c>
      <c r="F502" t="s">
        <v>145</v>
      </c>
    </row>
    <row r="503" spans="1:6">
      <c r="A503" t="s">
        <v>21</v>
      </c>
      <c r="B503" t="s">
        <v>525</v>
      </c>
      <c r="C503" t="s">
        <v>527</v>
      </c>
      <c r="D503" t="s">
        <v>144</v>
      </c>
      <c r="E503" t="s">
        <v>526</v>
      </c>
      <c r="F503" t="s">
        <v>145</v>
      </c>
    </row>
    <row r="504" spans="1:6">
      <c r="A504" t="s">
        <v>21</v>
      </c>
      <c r="B504" t="s">
        <v>525</v>
      </c>
      <c r="C504" t="s">
        <v>528</v>
      </c>
      <c r="D504" t="s">
        <v>144</v>
      </c>
      <c r="E504" t="s">
        <v>526</v>
      </c>
      <c r="F504" t="s">
        <v>145</v>
      </c>
    </row>
    <row r="505" spans="1:6">
      <c r="A505" t="s">
        <v>21</v>
      </c>
      <c r="B505" t="s">
        <v>525</v>
      </c>
      <c r="C505" t="s">
        <v>529</v>
      </c>
      <c r="D505" t="s">
        <v>144</v>
      </c>
      <c r="E505" t="s">
        <v>526</v>
      </c>
      <c r="F505" t="s">
        <v>145</v>
      </c>
    </row>
    <row r="506" spans="1:6">
      <c r="A506" t="s">
        <v>21</v>
      </c>
      <c r="B506" t="s">
        <v>525</v>
      </c>
      <c r="C506" t="s">
        <v>530</v>
      </c>
      <c r="D506" t="s">
        <v>144</v>
      </c>
      <c r="E506" t="s">
        <v>526</v>
      </c>
      <c r="F506" t="s">
        <v>145</v>
      </c>
    </row>
    <row r="507" spans="1:6">
      <c r="A507" t="s">
        <v>21</v>
      </c>
      <c r="B507" t="s">
        <v>384</v>
      </c>
      <c r="C507" t="s">
        <v>523</v>
      </c>
      <c r="D507" t="s">
        <v>164</v>
      </c>
      <c r="F507" t="s">
        <v>145</v>
      </c>
    </row>
    <row r="508" spans="1:6">
      <c r="A508" t="s">
        <v>21</v>
      </c>
      <c r="B508" t="s">
        <v>384</v>
      </c>
      <c r="C508" t="s">
        <v>531</v>
      </c>
      <c r="D508" t="s">
        <v>144</v>
      </c>
      <c r="F508" t="s">
        <v>145</v>
      </c>
    </row>
    <row r="509" spans="1:6">
      <c r="A509" t="s">
        <v>21</v>
      </c>
      <c r="B509" t="s">
        <v>384</v>
      </c>
      <c r="C509" t="s">
        <v>532</v>
      </c>
      <c r="D509" t="s">
        <v>144</v>
      </c>
      <c r="F509" t="s">
        <v>145</v>
      </c>
    </row>
    <row r="510" spans="1:6">
      <c r="A510" t="s">
        <v>21</v>
      </c>
      <c r="B510" t="s">
        <v>384</v>
      </c>
      <c r="C510" t="s">
        <v>533</v>
      </c>
      <c r="D510" t="s">
        <v>144</v>
      </c>
      <c r="F510" t="s">
        <v>145</v>
      </c>
    </row>
    <row r="511" spans="1:6">
      <c r="A511" t="s">
        <v>21</v>
      </c>
      <c r="B511" t="s">
        <v>384</v>
      </c>
      <c r="C511" t="s">
        <v>534</v>
      </c>
      <c r="D511" t="s">
        <v>144</v>
      </c>
      <c r="F511" t="s">
        <v>145</v>
      </c>
    </row>
    <row r="512" spans="1:6">
      <c r="A512" t="s">
        <v>21</v>
      </c>
      <c r="B512" t="s">
        <v>535</v>
      </c>
      <c r="C512" t="s">
        <v>511</v>
      </c>
      <c r="D512" t="s">
        <v>164</v>
      </c>
      <c r="E512" t="s">
        <v>536</v>
      </c>
      <c r="F512" t="s">
        <v>145</v>
      </c>
    </row>
    <row r="513" spans="1:6">
      <c r="A513" t="s">
        <v>21</v>
      </c>
      <c r="B513" t="s">
        <v>535</v>
      </c>
      <c r="C513" t="s">
        <v>537</v>
      </c>
      <c r="D513" t="s">
        <v>144</v>
      </c>
      <c r="E513" t="s">
        <v>536</v>
      </c>
      <c r="F513" t="s">
        <v>145</v>
      </c>
    </row>
    <row r="514" spans="1:6">
      <c r="A514" t="s">
        <v>21</v>
      </c>
      <c r="B514" t="s">
        <v>535</v>
      </c>
      <c r="C514" t="s">
        <v>538</v>
      </c>
      <c r="D514" t="s">
        <v>144</v>
      </c>
      <c r="E514" t="s">
        <v>536</v>
      </c>
      <c r="F514" t="s">
        <v>145</v>
      </c>
    </row>
    <row r="515" spans="1:6">
      <c r="A515" t="s">
        <v>21</v>
      </c>
      <c r="B515" t="s">
        <v>535</v>
      </c>
      <c r="C515" t="s">
        <v>539</v>
      </c>
      <c r="D515" t="s">
        <v>144</v>
      </c>
      <c r="E515" t="s">
        <v>536</v>
      </c>
      <c r="F515" t="s">
        <v>145</v>
      </c>
    </row>
    <row r="516" spans="1:6">
      <c r="A516" t="s">
        <v>21</v>
      </c>
      <c r="B516" t="s">
        <v>535</v>
      </c>
      <c r="C516" t="s">
        <v>540</v>
      </c>
      <c r="D516" t="s">
        <v>144</v>
      </c>
      <c r="E516" t="s">
        <v>536</v>
      </c>
      <c r="F516" t="s">
        <v>145</v>
      </c>
    </row>
    <row r="517" spans="1:6">
      <c r="A517" t="s">
        <v>21</v>
      </c>
      <c r="B517" t="s">
        <v>535</v>
      </c>
      <c r="C517" t="s">
        <v>541</v>
      </c>
      <c r="D517" t="s">
        <v>144</v>
      </c>
      <c r="E517" t="s">
        <v>536</v>
      </c>
      <c r="F517" t="s">
        <v>145</v>
      </c>
    </row>
    <row r="518" spans="1:6">
      <c r="A518" t="s">
        <v>21</v>
      </c>
      <c r="B518" t="s">
        <v>542</v>
      </c>
      <c r="C518" t="s">
        <v>510</v>
      </c>
      <c r="D518" t="s">
        <v>164</v>
      </c>
      <c r="E518" t="s">
        <v>536</v>
      </c>
      <c r="F518" t="s">
        <v>145</v>
      </c>
    </row>
    <row r="519" spans="1:6">
      <c r="A519" t="s">
        <v>21</v>
      </c>
      <c r="B519" t="s">
        <v>542</v>
      </c>
      <c r="C519" t="s">
        <v>543</v>
      </c>
      <c r="D519" t="s">
        <v>144</v>
      </c>
      <c r="E519" t="s">
        <v>536</v>
      </c>
      <c r="F519" t="s">
        <v>145</v>
      </c>
    </row>
    <row r="520" spans="1:6">
      <c r="A520" t="s">
        <v>21</v>
      </c>
      <c r="B520" t="s">
        <v>542</v>
      </c>
      <c r="C520" t="s">
        <v>544</v>
      </c>
      <c r="D520" t="s">
        <v>144</v>
      </c>
      <c r="E520" t="s">
        <v>536</v>
      </c>
      <c r="F520" t="s">
        <v>145</v>
      </c>
    </row>
    <row r="521" spans="1:6">
      <c r="A521" t="s">
        <v>21</v>
      </c>
      <c r="B521" t="s">
        <v>542</v>
      </c>
      <c r="C521" t="s">
        <v>545</v>
      </c>
      <c r="D521" t="s">
        <v>144</v>
      </c>
      <c r="E521" t="s">
        <v>536</v>
      </c>
      <c r="F521" t="s">
        <v>145</v>
      </c>
    </row>
    <row r="522" spans="1:6">
      <c r="A522" t="s">
        <v>21</v>
      </c>
      <c r="B522" t="s">
        <v>542</v>
      </c>
      <c r="C522" t="s">
        <v>546</v>
      </c>
      <c r="D522" t="s">
        <v>144</v>
      </c>
      <c r="E522" t="s">
        <v>536</v>
      </c>
      <c r="F522" t="s">
        <v>145</v>
      </c>
    </row>
    <row r="523" spans="1:6">
      <c r="A523" t="s">
        <v>21</v>
      </c>
      <c r="B523" t="s">
        <v>547</v>
      </c>
      <c r="C523" t="s">
        <v>505</v>
      </c>
      <c r="D523" t="s">
        <v>164</v>
      </c>
      <c r="E523" t="s">
        <v>548</v>
      </c>
      <c r="F523" t="s">
        <v>145</v>
      </c>
    </row>
    <row r="524" spans="1:6">
      <c r="A524" t="s">
        <v>21</v>
      </c>
      <c r="B524" t="s">
        <v>547</v>
      </c>
      <c r="C524" t="s">
        <v>549</v>
      </c>
      <c r="D524" t="s">
        <v>144</v>
      </c>
      <c r="E524" t="s">
        <v>548</v>
      </c>
      <c r="F524" t="s">
        <v>145</v>
      </c>
    </row>
    <row r="525" spans="1:6">
      <c r="A525" t="s">
        <v>21</v>
      </c>
      <c r="B525" t="s">
        <v>547</v>
      </c>
      <c r="C525" t="s">
        <v>550</v>
      </c>
      <c r="D525" t="s">
        <v>144</v>
      </c>
      <c r="E525" t="s">
        <v>548</v>
      </c>
      <c r="F525" t="s">
        <v>145</v>
      </c>
    </row>
    <row r="526" spans="1:6">
      <c r="A526" t="s">
        <v>21</v>
      </c>
      <c r="B526" t="s">
        <v>547</v>
      </c>
      <c r="C526" t="s">
        <v>551</v>
      </c>
      <c r="D526" t="s">
        <v>144</v>
      </c>
      <c r="E526" t="s">
        <v>548</v>
      </c>
      <c r="F526" t="s">
        <v>145</v>
      </c>
    </row>
    <row r="527" spans="1:6">
      <c r="A527" t="s">
        <v>21</v>
      </c>
      <c r="B527" t="s">
        <v>547</v>
      </c>
      <c r="C527" t="s">
        <v>552</v>
      </c>
      <c r="D527" t="s">
        <v>144</v>
      </c>
      <c r="E527" t="s">
        <v>548</v>
      </c>
      <c r="F527" t="s">
        <v>145</v>
      </c>
    </row>
    <row r="528" spans="1:6">
      <c r="A528" t="s">
        <v>21</v>
      </c>
      <c r="B528" t="s">
        <v>10</v>
      </c>
      <c r="C528" t="s">
        <v>443</v>
      </c>
      <c r="D528" t="s">
        <v>164</v>
      </c>
      <c r="E528" t="s">
        <v>553</v>
      </c>
      <c r="F528" t="s">
        <v>145</v>
      </c>
    </row>
    <row r="529" spans="1:6">
      <c r="A529" t="s">
        <v>21</v>
      </c>
      <c r="B529" t="s">
        <v>10</v>
      </c>
      <c r="C529" t="s">
        <v>25</v>
      </c>
      <c r="D529" t="s">
        <v>144</v>
      </c>
      <c r="E529" t="s">
        <v>553</v>
      </c>
      <c r="F529" t="s">
        <v>145</v>
      </c>
    </row>
    <row r="530" spans="1:6">
      <c r="A530" t="s">
        <v>21</v>
      </c>
      <c r="B530" t="s">
        <v>10</v>
      </c>
      <c r="C530" t="s">
        <v>26</v>
      </c>
      <c r="D530" t="s">
        <v>144</v>
      </c>
      <c r="E530" t="s">
        <v>553</v>
      </c>
      <c r="F530" t="s">
        <v>145</v>
      </c>
    </row>
    <row r="531" spans="1:6">
      <c r="A531" t="s">
        <v>21</v>
      </c>
      <c r="B531" t="s">
        <v>10</v>
      </c>
      <c r="C531" t="s">
        <v>23</v>
      </c>
      <c r="D531" t="s">
        <v>144</v>
      </c>
      <c r="E531" t="s">
        <v>553</v>
      </c>
      <c r="F531" t="s">
        <v>145</v>
      </c>
    </row>
    <row r="532" spans="1:6">
      <c r="A532" t="s">
        <v>21</v>
      </c>
      <c r="B532" t="s">
        <v>10</v>
      </c>
      <c r="C532" t="s">
        <v>22</v>
      </c>
      <c r="D532" t="s">
        <v>144</v>
      </c>
      <c r="E532" t="s">
        <v>553</v>
      </c>
      <c r="F532" t="s">
        <v>145</v>
      </c>
    </row>
    <row r="533" spans="1:6">
      <c r="A533" t="s">
        <v>21</v>
      </c>
      <c r="B533" t="s">
        <v>337</v>
      </c>
      <c r="C533" t="s">
        <v>520</v>
      </c>
      <c r="D533" t="s">
        <v>164</v>
      </c>
      <c r="E533" t="s">
        <v>554</v>
      </c>
      <c r="F533" t="s">
        <v>337</v>
      </c>
    </row>
    <row r="534" spans="1:6">
      <c r="A534" t="s">
        <v>21</v>
      </c>
      <c r="B534" t="s">
        <v>337</v>
      </c>
      <c r="C534" t="s">
        <v>555</v>
      </c>
      <c r="D534" t="s">
        <v>144</v>
      </c>
      <c r="E534" t="s">
        <v>554</v>
      </c>
      <c r="F534" t="s">
        <v>337</v>
      </c>
    </row>
    <row r="535" spans="1:6">
      <c r="A535" t="s">
        <v>21</v>
      </c>
      <c r="B535" t="s">
        <v>337</v>
      </c>
      <c r="C535" t="s">
        <v>556</v>
      </c>
      <c r="D535" t="s">
        <v>144</v>
      </c>
      <c r="E535" t="s">
        <v>554</v>
      </c>
      <c r="F535" t="s">
        <v>337</v>
      </c>
    </row>
    <row r="536" spans="1:6">
      <c r="A536" t="s">
        <v>21</v>
      </c>
      <c r="B536" t="s">
        <v>337</v>
      </c>
      <c r="C536" t="s">
        <v>557</v>
      </c>
      <c r="D536" t="s">
        <v>144</v>
      </c>
      <c r="E536" t="s">
        <v>554</v>
      </c>
      <c r="F536" t="s">
        <v>337</v>
      </c>
    </row>
    <row r="537" spans="1:6">
      <c r="A537" t="s">
        <v>21</v>
      </c>
      <c r="B537" t="s">
        <v>337</v>
      </c>
      <c r="C537" t="s">
        <v>558</v>
      </c>
      <c r="D537" t="s">
        <v>144</v>
      </c>
      <c r="E537" t="s">
        <v>554</v>
      </c>
      <c r="F537" t="s">
        <v>337</v>
      </c>
    </row>
    <row r="538" spans="1:6">
      <c r="A538" t="s">
        <v>21</v>
      </c>
      <c r="B538" t="s">
        <v>158</v>
      </c>
      <c r="C538" t="s">
        <v>69</v>
      </c>
      <c r="D538" t="s">
        <v>217</v>
      </c>
      <c r="F538" t="s">
        <v>145</v>
      </c>
    </row>
    <row r="539" spans="1:6">
      <c r="A539" t="s">
        <v>21</v>
      </c>
      <c r="B539" t="s">
        <v>158</v>
      </c>
      <c r="C539" t="s">
        <v>375</v>
      </c>
      <c r="D539" t="s">
        <v>217</v>
      </c>
      <c r="F539" t="s">
        <v>145</v>
      </c>
    </row>
    <row r="540" spans="1:6">
      <c r="A540" t="s">
        <v>21</v>
      </c>
      <c r="B540" t="s">
        <v>158</v>
      </c>
      <c r="C540" t="s">
        <v>237</v>
      </c>
      <c r="D540" t="s">
        <v>409</v>
      </c>
      <c r="F540" t="s">
        <v>145</v>
      </c>
    </row>
    <row r="541" spans="1:6">
      <c r="A541" t="s">
        <v>21</v>
      </c>
      <c r="B541" t="s">
        <v>158</v>
      </c>
      <c r="C541" t="s">
        <v>408</v>
      </c>
      <c r="D541" t="s">
        <v>409</v>
      </c>
      <c r="F541" t="s">
        <v>145</v>
      </c>
    </row>
    <row r="542" spans="1:6">
      <c r="A542" t="s">
        <v>21</v>
      </c>
      <c r="B542" t="s">
        <v>158</v>
      </c>
      <c r="C542" t="s">
        <v>350</v>
      </c>
      <c r="D542" t="s">
        <v>162</v>
      </c>
      <c r="F542" t="s">
        <v>145</v>
      </c>
    </row>
    <row r="543" spans="1:6">
      <c r="A543" t="s">
        <v>21</v>
      </c>
      <c r="B543" t="s">
        <v>158</v>
      </c>
      <c r="C543" t="s">
        <v>559</v>
      </c>
      <c r="D543" t="s">
        <v>560</v>
      </c>
      <c r="F543" t="s">
        <v>145</v>
      </c>
    </row>
    <row r="544" spans="1:6">
      <c r="A544" t="s">
        <v>21</v>
      </c>
      <c r="B544" t="s">
        <v>158</v>
      </c>
      <c r="C544" t="s">
        <v>257</v>
      </c>
      <c r="D544" t="s">
        <v>160</v>
      </c>
      <c r="F544" t="s">
        <v>145</v>
      </c>
    </row>
    <row r="545" spans="1:6">
      <c r="A545" t="s">
        <v>13</v>
      </c>
      <c r="B545" t="s">
        <v>561</v>
      </c>
      <c r="C545" t="s">
        <v>538</v>
      </c>
      <c r="D545" t="s">
        <v>164</v>
      </c>
      <c r="E545" t="s">
        <v>562</v>
      </c>
      <c r="F545" t="s">
        <v>145</v>
      </c>
    </row>
    <row r="546" spans="1:6">
      <c r="A546" t="s">
        <v>13</v>
      </c>
      <c r="B546" t="s">
        <v>561</v>
      </c>
      <c r="C546" t="s">
        <v>563</v>
      </c>
      <c r="D546" t="s">
        <v>144</v>
      </c>
      <c r="E546" t="s">
        <v>562</v>
      </c>
      <c r="F546" t="s">
        <v>145</v>
      </c>
    </row>
    <row r="547" spans="1:6">
      <c r="A547" t="s">
        <v>13</v>
      </c>
      <c r="B547" t="s">
        <v>561</v>
      </c>
      <c r="C547" t="s">
        <v>564</v>
      </c>
      <c r="D547" t="s">
        <v>144</v>
      </c>
      <c r="E547" t="s">
        <v>562</v>
      </c>
      <c r="F547" t="s">
        <v>145</v>
      </c>
    </row>
    <row r="548" spans="1:6">
      <c r="A548" t="s">
        <v>13</v>
      </c>
      <c r="B548" t="s">
        <v>561</v>
      </c>
      <c r="C548" t="s">
        <v>565</v>
      </c>
      <c r="D548" t="s">
        <v>144</v>
      </c>
      <c r="E548" t="s">
        <v>562</v>
      </c>
      <c r="F548" t="s">
        <v>145</v>
      </c>
    </row>
    <row r="549" spans="1:6">
      <c r="A549" t="s">
        <v>13</v>
      </c>
      <c r="B549" t="s">
        <v>561</v>
      </c>
      <c r="C549" t="s">
        <v>566</v>
      </c>
      <c r="D549" t="s">
        <v>144</v>
      </c>
      <c r="E549" t="s">
        <v>562</v>
      </c>
      <c r="F549" t="s">
        <v>145</v>
      </c>
    </row>
    <row r="550" spans="1:6">
      <c r="A550" t="s">
        <v>13</v>
      </c>
      <c r="B550" t="s">
        <v>384</v>
      </c>
      <c r="C550" t="s">
        <v>523</v>
      </c>
      <c r="D550" t="s">
        <v>164</v>
      </c>
      <c r="F550" t="s">
        <v>145</v>
      </c>
    </row>
    <row r="551" spans="1:6">
      <c r="A551" t="s">
        <v>13</v>
      </c>
      <c r="B551" t="s">
        <v>384</v>
      </c>
      <c r="C551" t="s">
        <v>567</v>
      </c>
      <c r="D551" t="s">
        <v>144</v>
      </c>
      <c r="F551" t="s">
        <v>145</v>
      </c>
    </row>
    <row r="552" spans="1:6">
      <c r="A552" t="s">
        <v>13</v>
      </c>
      <c r="B552" t="s">
        <v>384</v>
      </c>
      <c r="C552" t="s">
        <v>568</v>
      </c>
      <c r="D552" t="s">
        <v>144</v>
      </c>
      <c r="F552" t="s">
        <v>145</v>
      </c>
    </row>
    <row r="553" spans="1:6">
      <c r="A553" t="s">
        <v>13</v>
      </c>
      <c r="B553" t="s">
        <v>384</v>
      </c>
      <c r="C553" t="s">
        <v>569</v>
      </c>
      <c r="D553" t="s">
        <v>144</v>
      </c>
      <c r="F553" t="s">
        <v>145</v>
      </c>
    </row>
    <row r="554" spans="1:6">
      <c r="A554" t="s">
        <v>13</v>
      </c>
      <c r="B554" t="s">
        <v>525</v>
      </c>
      <c r="C554" t="s">
        <v>549</v>
      </c>
      <c r="D554" t="s">
        <v>164</v>
      </c>
      <c r="E554" t="s">
        <v>570</v>
      </c>
      <c r="F554" t="s">
        <v>145</v>
      </c>
    </row>
    <row r="555" spans="1:6">
      <c r="A555" t="s">
        <v>13</v>
      </c>
      <c r="B555" t="s">
        <v>525</v>
      </c>
      <c r="C555" t="s">
        <v>571</v>
      </c>
      <c r="D555" t="s">
        <v>144</v>
      </c>
      <c r="E555" t="s">
        <v>570</v>
      </c>
      <c r="F555" t="s">
        <v>145</v>
      </c>
    </row>
    <row r="556" spans="1:6">
      <c r="A556" t="s">
        <v>13</v>
      </c>
      <c r="B556" t="s">
        <v>525</v>
      </c>
      <c r="C556" t="s">
        <v>572</v>
      </c>
      <c r="D556" t="s">
        <v>144</v>
      </c>
      <c r="E556" t="s">
        <v>570</v>
      </c>
      <c r="F556" t="s">
        <v>145</v>
      </c>
    </row>
    <row r="557" spans="1:6">
      <c r="A557" t="s">
        <v>13</v>
      </c>
      <c r="B557" t="s">
        <v>525</v>
      </c>
      <c r="C557" t="s">
        <v>573</v>
      </c>
      <c r="D557" t="s">
        <v>144</v>
      </c>
      <c r="E557" t="s">
        <v>570</v>
      </c>
      <c r="F557" t="s">
        <v>145</v>
      </c>
    </row>
    <row r="558" spans="1:6">
      <c r="A558" t="s">
        <v>13</v>
      </c>
      <c r="B558" t="s">
        <v>542</v>
      </c>
      <c r="C558" t="s">
        <v>550</v>
      </c>
      <c r="D558" t="s">
        <v>164</v>
      </c>
      <c r="E558" t="s">
        <v>574</v>
      </c>
      <c r="F558" t="s">
        <v>145</v>
      </c>
    </row>
    <row r="559" spans="1:6">
      <c r="A559" t="s">
        <v>13</v>
      </c>
      <c r="B559" t="s">
        <v>542</v>
      </c>
      <c r="C559" t="s">
        <v>575</v>
      </c>
      <c r="D559" t="s">
        <v>144</v>
      </c>
      <c r="E559" t="s">
        <v>574</v>
      </c>
      <c r="F559" t="s">
        <v>145</v>
      </c>
    </row>
    <row r="560" spans="1:6">
      <c r="A560" t="s">
        <v>13</v>
      </c>
      <c r="B560" t="s">
        <v>542</v>
      </c>
      <c r="C560" t="s">
        <v>576</v>
      </c>
      <c r="D560" t="s">
        <v>144</v>
      </c>
      <c r="E560" t="s">
        <v>574</v>
      </c>
      <c r="F560" t="s">
        <v>145</v>
      </c>
    </row>
    <row r="561" spans="1:6">
      <c r="A561" t="s">
        <v>13</v>
      </c>
      <c r="B561" t="s">
        <v>542</v>
      </c>
      <c r="C561" t="s">
        <v>577</v>
      </c>
      <c r="D561" t="s">
        <v>144</v>
      </c>
      <c r="E561" t="s">
        <v>574</v>
      </c>
      <c r="F561" t="s">
        <v>145</v>
      </c>
    </row>
    <row r="562" spans="1:6">
      <c r="A562" t="s">
        <v>13</v>
      </c>
      <c r="B562" t="s">
        <v>542</v>
      </c>
      <c r="C562" t="s">
        <v>578</v>
      </c>
      <c r="D562" t="s">
        <v>144</v>
      </c>
      <c r="E562" t="s">
        <v>574</v>
      </c>
      <c r="F562" t="s">
        <v>145</v>
      </c>
    </row>
    <row r="563" spans="1:6">
      <c r="A563" t="s">
        <v>13</v>
      </c>
      <c r="B563" t="s">
        <v>542</v>
      </c>
      <c r="C563" t="s">
        <v>507</v>
      </c>
      <c r="D563" t="s">
        <v>144</v>
      </c>
      <c r="E563" t="s">
        <v>574</v>
      </c>
      <c r="F563" t="s">
        <v>145</v>
      </c>
    </row>
    <row r="564" spans="1:6">
      <c r="A564" t="s">
        <v>13</v>
      </c>
      <c r="B564" t="s">
        <v>542</v>
      </c>
      <c r="C564" t="s">
        <v>579</v>
      </c>
      <c r="D564" t="s">
        <v>144</v>
      </c>
      <c r="E564" t="s">
        <v>574</v>
      </c>
      <c r="F564" t="s">
        <v>145</v>
      </c>
    </row>
    <row r="565" spans="1:6">
      <c r="A565" t="s">
        <v>13</v>
      </c>
      <c r="B565" t="s">
        <v>542</v>
      </c>
      <c r="C565" t="s">
        <v>580</v>
      </c>
      <c r="D565" t="s">
        <v>144</v>
      </c>
      <c r="E565" t="s">
        <v>574</v>
      </c>
      <c r="F565" t="s">
        <v>145</v>
      </c>
    </row>
    <row r="566" spans="1:6">
      <c r="A566" t="s">
        <v>13</v>
      </c>
      <c r="B566" t="s">
        <v>542</v>
      </c>
      <c r="C566" t="s">
        <v>581</v>
      </c>
      <c r="D566" t="s">
        <v>144</v>
      </c>
      <c r="E566" t="s">
        <v>574</v>
      </c>
      <c r="F566" t="s">
        <v>145</v>
      </c>
    </row>
    <row r="567" spans="1:6">
      <c r="A567" t="s">
        <v>13</v>
      </c>
      <c r="B567" t="s">
        <v>542</v>
      </c>
      <c r="C567" t="s">
        <v>582</v>
      </c>
      <c r="D567" t="s">
        <v>144</v>
      </c>
      <c r="E567" t="s">
        <v>574</v>
      </c>
      <c r="F567" t="s">
        <v>145</v>
      </c>
    </row>
    <row r="568" spans="1:6">
      <c r="A568" t="s">
        <v>13</v>
      </c>
      <c r="B568" t="s">
        <v>10</v>
      </c>
      <c r="C568" t="s">
        <v>19</v>
      </c>
      <c r="D568" t="s">
        <v>164</v>
      </c>
      <c r="E568" t="s">
        <v>583</v>
      </c>
      <c r="F568" t="s">
        <v>145</v>
      </c>
    </row>
    <row r="569" spans="1:6">
      <c r="A569" t="s">
        <v>13</v>
      </c>
      <c r="B569" t="s">
        <v>10</v>
      </c>
      <c r="C569" t="s">
        <v>17</v>
      </c>
      <c r="D569" t="s">
        <v>144</v>
      </c>
      <c r="E569" t="s">
        <v>583</v>
      </c>
      <c r="F569" t="s">
        <v>145</v>
      </c>
    </row>
    <row r="570" spans="1:6">
      <c r="A570" t="s">
        <v>13</v>
      </c>
      <c r="B570" t="s">
        <v>10</v>
      </c>
      <c r="C570" t="s">
        <v>14</v>
      </c>
      <c r="D570" t="s">
        <v>144</v>
      </c>
      <c r="E570" t="s">
        <v>583</v>
      </c>
      <c r="F570" t="s">
        <v>145</v>
      </c>
    </row>
    <row r="571" spans="1:6">
      <c r="A571" t="s">
        <v>13</v>
      </c>
      <c r="B571" t="s">
        <v>10</v>
      </c>
      <c r="C571" t="s">
        <v>15</v>
      </c>
      <c r="D571" t="s">
        <v>144</v>
      </c>
      <c r="E571" t="s">
        <v>583</v>
      </c>
      <c r="F571" t="s">
        <v>145</v>
      </c>
    </row>
    <row r="572" spans="1:6">
      <c r="A572" t="s">
        <v>13</v>
      </c>
      <c r="B572" t="s">
        <v>10</v>
      </c>
      <c r="C572" t="s">
        <v>16</v>
      </c>
      <c r="D572" t="s">
        <v>144</v>
      </c>
      <c r="E572" t="s">
        <v>583</v>
      </c>
      <c r="F572" t="s">
        <v>145</v>
      </c>
    </row>
    <row r="573" spans="1:6">
      <c r="A573" t="s">
        <v>13</v>
      </c>
      <c r="B573" t="s">
        <v>10</v>
      </c>
      <c r="C573" t="s">
        <v>18</v>
      </c>
      <c r="D573" t="s">
        <v>144</v>
      </c>
      <c r="E573" t="s">
        <v>583</v>
      </c>
      <c r="F573" t="s">
        <v>145</v>
      </c>
    </row>
    <row r="574" spans="1:6">
      <c r="A574" t="s">
        <v>13</v>
      </c>
      <c r="B574" t="s">
        <v>337</v>
      </c>
      <c r="C574" t="s">
        <v>558</v>
      </c>
      <c r="D574" t="s">
        <v>164</v>
      </c>
      <c r="E574" t="s">
        <v>584</v>
      </c>
      <c r="F574" t="s">
        <v>337</v>
      </c>
    </row>
    <row r="575" spans="1:6">
      <c r="A575" t="s">
        <v>13</v>
      </c>
      <c r="B575" t="s">
        <v>337</v>
      </c>
      <c r="C575" t="s">
        <v>585</v>
      </c>
      <c r="D575" t="s">
        <v>144</v>
      </c>
      <c r="E575" t="s">
        <v>584</v>
      </c>
      <c r="F575" t="s">
        <v>337</v>
      </c>
    </row>
    <row r="576" spans="1:6">
      <c r="A576" t="s">
        <v>13</v>
      </c>
      <c r="B576" t="s">
        <v>337</v>
      </c>
      <c r="C576" t="s">
        <v>586</v>
      </c>
      <c r="D576" t="s">
        <v>144</v>
      </c>
      <c r="E576" t="s">
        <v>584</v>
      </c>
      <c r="F576" t="s">
        <v>337</v>
      </c>
    </row>
    <row r="577" spans="1:6">
      <c r="A577" t="s">
        <v>13</v>
      </c>
      <c r="B577" t="s">
        <v>337</v>
      </c>
      <c r="C577" t="s">
        <v>587</v>
      </c>
      <c r="D577" t="s">
        <v>144</v>
      </c>
      <c r="E577" t="s">
        <v>584</v>
      </c>
      <c r="F577" t="s">
        <v>337</v>
      </c>
    </row>
    <row r="578" spans="1:6">
      <c r="A578" t="s">
        <v>13</v>
      </c>
      <c r="B578" t="s">
        <v>337</v>
      </c>
      <c r="C578" t="s">
        <v>588</v>
      </c>
      <c r="D578" t="s">
        <v>144</v>
      </c>
      <c r="E578" t="s">
        <v>584</v>
      </c>
      <c r="F578" t="s">
        <v>337</v>
      </c>
    </row>
    <row r="579" spans="1:6">
      <c r="A579" t="s">
        <v>13</v>
      </c>
      <c r="B579" t="s">
        <v>158</v>
      </c>
      <c r="C579" t="s">
        <v>510</v>
      </c>
      <c r="D579" t="s">
        <v>217</v>
      </c>
      <c r="F579" t="s">
        <v>145</v>
      </c>
    </row>
    <row r="580" spans="1:6">
      <c r="A580" t="s">
        <v>13</v>
      </c>
      <c r="B580" t="s">
        <v>158</v>
      </c>
      <c r="C580" t="s">
        <v>69</v>
      </c>
      <c r="D580" t="s">
        <v>217</v>
      </c>
      <c r="F580" t="s">
        <v>145</v>
      </c>
    </row>
    <row r="581" spans="1:6">
      <c r="A581" t="s">
        <v>13</v>
      </c>
      <c r="B581" t="s">
        <v>158</v>
      </c>
      <c r="C581" t="s">
        <v>558</v>
      </c>
      <c r="D581" t="s">
        <v>217</v>
      </c>
      <c r="F581" t="s">
        <v>337</v>
      </c>
    </row>
    <row r="582" spans="1:6">
      <c r="A582" t="s">
        <v>13</v>
      </c>
      <c r="B582" t="s">
        <v>158</v>
      </c>
      <c r="C582" t="s">
        <v>350</v>
      </c>
      <c r="D582" t="s">
        <v>409</v>
      </c>
      <c r="F582" t="s">
        <v>145</v>
      </c>
    </row>
    <row r="583" spans="1:6">
      <c r="A583" t="s">
        <v>13</v>
      </c>
      <c r="B583" t="s">
        <v>158</v>
      </c>
      <c r="C583" t="s">
        <v>408</v>
      </c>
      <c r="D583" t="s">
        <v>409</v>
      </c>
      <c r="F583" t="s">
        <v>145</v>
      </c>
    </row>
    <row r="584" spans="1:6">
      <c r="A584" t="s">
        <v>13</v>
      </c>
      <c r="B584" t="s">
        <v>158</v>
      </c>
      <c r="C584" t="s">
        <v>589</v>
      </c>
      <c r="D584" t="s">
        <v>560</v>
      </c>
      <c r="F584" t="s">
        <v>337</v>
      </c>
    </row>
    <row r="585" spans="1:6">
      <c r="A585" t="s">
        <v>13</v>
      </c>
      <c r="B585" t="s">
        <v>158</v>
      </c>
      <c r="C585" t="s">
        <v>257</v>
      </c>
      <c r="D585" t="s">
        <v>160</v>
      </c>
      <c r="F585" t="s">
        <v>145</v>
      </c>
    </row>
    <row r="586" spans="1:6">
      <c r="A586" t="s">
        <v>36</v>
      </c>
      <c r="B586" t="s">
        <v>525</v>
      </c>
      <c r="C586" t="s">
        <v>552</v>
      </c>
      <c r="D586" t="s">
        <v>164</v>
      </c>
      <c r="E586" t="s">
        <v>590</v>
      </c>
      <c r="F586" t="s">
        <v>337</v>
      </c>
    </row>
    <row r="587" spans="1:6">
      <c r="A587" t="s">
        <v>36</v>
      </c>
      <c r="B587" t="s">
        <v>525</v>
      </c>
      <c r="C587" t="s">
        <v>591</v>
      </c>
      <c r="D587" t="s">
        <v>144</v>
      </c>
      <c r="E587" t="s">
        <v>590</v>
      </c>
      <c r="F587" t="s">
        <v>337</v>
      </c>
    </row>
    <row r="588" spans="1:6">
      <c r="A588" t="s">
        <v>36</v>
      </c>
      <c r="B588" t="s">
        <v>525</v>
      </c>
      <c r="C588" t="s">
        <v>592</v>
      </c>
      <c r="D588" t="s">
        <v>144</v>
      </c>
      <c r="E588" t="s">
        <v>590</v>
      </c>
      <c r="F588" t="s">
        <v>337</v>
      </c>
    </row>
    <row r="589" spans="1:6">
      <c r="A589" t="s">
        <v>36</v>
      </c>
      <c r="B589" t="s">
        <v>525</v>
      </c>
      <c r="C589" t="s">
        <v>593</v>
      </c>
      <c r="D589" t="s">
        <v>144</v>
      </c>
      <c r="E589" t="s">
        <v>590</v>
      </c>
      <c r="F589" t="s">
        <v>337</v>
      </c>
    </row>
    <row r="590" spans="1:6">
      <c r="A590" t="s">
        <v>36</v>
      </c>
      <c r="B590" t="s">
        <v>525</v>
      </c>
      <c r="C590" t="s">
        <v>594</v>
      </c>
      <c r="D590" t="s">
        <v>144</v>
      </c>
      <c r="E590" t="s">
        <v>590</v>
      </c>
      <c r="F590" t="s">
        <v>337</v>
      </c>
    </row>
    <row r="591" spans="1:6">
      <c r="A591" t="s">
        <v>36</v>
      </c>
      <c r="B591" t="s">
        <v>384</v>
      </c>
      <c r="C591" t="s">
        <v>521</v>
      </c>
      <c r="D591" t="s">
        <v>164</v>
      </c>
      <c r="F591" t="s">
        <v>145</v>
      </c>
    </row>
    <row r="592" spans="1:6">
      <c r="A592" t="s">
        <v>36</v>
      </c>
      <c r="B592" t="s">
        <v>384</v>
      </c>
      <c r="C592" t="s">
        <v>595</v>
      </c>
      <c r="D592" t="s">
        <v>144</v>
      </c>
      <c r="F592" t="s">
        <v>145</v>
      </c>
    </row>
    <row r="593" spans="1:6">
      <c r="A593" t="s">
        <v>36</v>
      </c>
      <c r="B593" t="s">
        <v>384</v>
      </c>
      <c r="C593" t="s">
        <v>596</v>
      </c>
      <c r="D593" t="s">
        <v>144</v>
      </c>
      <c r="F593" t="s">
        <v>145</v>
      </c>
    </row>
    <row r="594" spans="1:6">
      <c r="A594" t="s">
        <v>36</v>
      </c>
      <c r="B594" t="s">
        <v>384</v>
      </c>
      <c r="C594" t="s">
        <v>597</v>
      </c>
      <c r="D594" t="s">
        <v>144</v>
      </c>
      <c r="F594" t="s">
        <v>145</v>
      </c>
    </row>
    <row r="595" spans="1:6">
      <c r="A595" t="s">
        <v>36</v>
      </c>
      <c r="B595" t="s">
        <v>384</v>
      </c>
      <c r="C595" t="s">
        <v>598</v>
      </c>
      <c r="D595" t="s">
        <v>144</v>
      </c>
      <c r="F595" t="s">
        <v>145</v>
      </c>
    </row>
    <row r="596" spans="1:6">
      <c r="A596" t="s">
        <v>36</v>
      </c>
      <c r="B596" t="s">
        <v>547</v>
      </c>
      <c r="C596" t="s">
        <v>565</v>
      </c>
      <c r="D596" t="s">
        <v>164</v>
      </c>
      <c r="E596" t="s">
        <v>599</v>
      </c>
      <c r="F596" t="s">
        <v>145</v>
      </c>
    </row>
    <row r="597" spans="1:6">
      <c r="A597" t="s">
        <v>36</v>
      </c>
      <c r="B597" t="s">
        <v>547</v>
      </c>
      <c r="C597" t="s">
        <v>600</v>
      </c>
      <c r="D597" t="s">
        <v>144</v>
      </c>
      <c r="E597" t="s">
        <v>599</v>
      </c>
      <c r="F597" t="s">
        <v>145</v>
      </c>
    </row>
    <row r="598" spans="1:6">
      <c r="A598" t="s">
        <v>36</v>
      </c>
      <c r="B598" t="s">
        <v>547</v>
      </c>
      <c r="C598" t="s">
        <v>601</v>
      </c>
      <c r="D598" t="s">
        <v>144</v>
      </c>
      <c r="E598" t="s">
        <v>599</v>
      </c>
      <c r="F598" t="s">
        <v>145</v>
      </c>
    </row>
    <row r="599" spans="1:6">
      <c r="A599" t="s">
        <v>36</v>
      </c>
      <c r="B599" t="s">
        <v>547</v>
      </c>
      <c r="C599" t="s">
        <v>602</v>
      </c>
      <c r="D599" t="s">
        <v>144</v>
      </c>
      <c r="E599" t="s">
        <v>599</v>
      </c>
      <c r="F599" t="s">
        <v>145</v>
      </c>
    </row>
    <row r="600" spans="1:6">
      <c r="A600" t="s">
        <v>36</v>
      </c>
      <c r="B600" t="s">
        <v>547</v>
      </c>
      <c r="C600" t="s">
        <v>603</v>
      </c>
      <c r="D600" t="s">
        <v>144</v>
      </c>
      <c r="E600" t="s">
        <v>599</v>
      </c>
      <c r="F600" t="s">
        <v>145</v>
      </c>
    </row>
    <row r="601" spans="1:6">
      <c r="A601" t="s">
        <v>36</v>
      </c>
      <c r="B601" t="s">
        <v>10</v>
      </c>
      <c r="C601" t="s">
        <v>15</v>
      </c>
      <c r="D601" t="s">
        <v>164</v>
      </c>
      <c r="E601" t="s">
        <v>604</v>
      </c>
      <c r="F601" t="s">
        <v>145</v>
      </c>
    </row>
    <row r="602" spans="1:6">
      <c r="A602" t="s">
        <v>36</v>
      </c>
      <c r="B602" t="s">
        <v>10</v>
      </c>
      <c r="C602" t="s">
        <v>38</v>
      </c>
      <c r="D602" t="s">
        <v>144</v>
      </c>
      <c r="E602" t="s">
        <v>604</v>
      </c>
      <c r="F602" t="s">
        <v>145</v>
      </c>
    </row>
    <row r="603" spans="1:6">
      <c r="A603" t="s">
        <v>36</v>
      </c>
      <c r="B603" t="s">
        <v>10</v>
      </c>
      <c r="C603" t="s">
        <v>37</v>
      </c>
      <c r="D603" t="s">
        <v>144</v>
      </c>
      <c r="E603" t="s">
        <v>604</v>
      </c>
      <c r="F603" t="s">
        <v>145</v>
      </c>
    </row>
    <row r="604" spans="1:6">
      <c r="A604" t="s">
        <v>36</v>
      </c>
      <c r="B604" t="s">
        <v>10</v>
      </c>
      <c r="C604" t="s">
        <v>40</v>
      </c>
      <c r="D604" t="s">
        <v>144</v>
      </c>
      <c r="E604" t="s">
        <v>604</v>
      </c>
      <c r="F604" t="s">
        <v>145</v>
      </c>
    </row>
    <row r="605" spans="1:6">
      <c r="A605" t="s">
        <v>36</v>
      </c>
      <c r="B605" t="s">
        <v>10</v>
      </c>
      <c r="C605" t="s">
        <v>39</v>
      </c>
      <c r="D605" t="s">
        <v>144</v>
      </c>
      <c r="E605" t="s">
        <v>604</v>
      </c>
      <c r="F605" t="s">
        <v>145</v>
      </c>
    </row>
    <row r="606" spans="1:6">
      <c r="A606" t="s">
        <v>36</v>
      </c>
      <c r="B606" t="s">
        <v>535</v>
      </c>
      <c r="C606" t="s">
        <v>575</v>
      </c>
      <c r="D606" t="s">
        <v>164</v>
      </c>
      <c r="E606" t="s">
        <v>605</v>
      </c>
      <c r="F606" t="s">
        <v>145</v>
      </c>
    </row>
    <row r="607" spans="1:6">
      <c r="A607" t="s">
        <v>36</v>
      </c>
      <c r="B607" t="s">
        <v>535</v>
      </c>
      <c r="C607" t="s">
        <v>606</v>
      </c>
      <c r="D607" t="s">
        <v>144</v>
      </c>
      <c r="E607" t="s">
        <v>605</v>
      </c>
      <c r="F607" t="s">
        <v>145</v>
      </c>
    </row>
    <row r="608" spans="1:6">
      <c r="A608" t="s">
        <v>36</v>
      </c>
      <c r="B608" t="s">
        <v>535</v>
      </c>
      <c r="C608" t="s">
        <v>607</v>
      </c>
      <c r="D608" t="s">
        <v>144</v>
      </c>
      <c r="E608" t="s">
        <v>605</v>
      </c>
      <c r="F608" t="s">
        <v>145</v>
      </c>
    </row>
    <row r="609" spans="1:6">
      <c r="A609" t="s">
        <v>36</v>
      </c>
      <c r="B609" t="s">
        <v>535</v>
      </c>
      <c r="C609" t="s">
        <v>608</v>
      </c>
      <c r="D609" t="s">
        <v>144</v>
      </c>
      <c r="E609" t="s">
        <v>605</v>
      </c>
      <c r="F609" t="s">
        <v>145</v>
      </c>
    </row>
    <row r="610" spans="1:6">
      <c r="A610" t="s">
        <v>36</v>
      </c>
      <c r="B610" t="s">
        <v>535</v>
      </c>
      <c r="C610" t="s">
        <v>609</v>
      </c>
      <c r="D610" t="s">
        <v>144</v>
      </c>
      <c r="E610" t="s">
        <v>605</v>
      </c>
      <c r="F610" t="s">
        <v>145</v>
      </c>
    </row>
    <row r="611" spans="1:6">
      <c r="A611" t="s">
        <v>36</v>
      </c>
      <c r="B611" t="s">
        <v>542</v>
      </c>
      <c r="C611" t="s">
        <v>581</v>
      </c>
      <c r="D611" t="s">
        <v>164</v>
      </c>
      <c r="E611" t="s">
        <v>605</v>
      </c>
      <c r="F611" t="s">
        <v>145</v>
      </c>
    </row>
    <row r="612" spans="1:6">
      <c r="A612" t="s">
        <v>36</v>
      </c>
      <c r="B612" t="s">
        <v>542</v>
      </c>
      <c r="C612" t="s">
        <v>610</v>
      </c>
      <c r="D612" t="s">
        <v>144</v>
      </c>
      <c r="E612" t="s">
        <v>605</v>
      </c>
      <c r="F612" t="s">
        <v>145</v>
      </c>
    </row>
    <row r="613" spans="1:6">
      <c r="A613" t="s">
        <v>36</v>
      </c>
      <c r="B613" t="s">
        <v>542</v>
      </c>
      <c r="C613" t="s">
        <v>611</v>
      </c>
      <c r="D613" t="s">
        <v>144</v>
      </c>
      <c r="E613" t="s">
        <v>605</v>
      </c>
      <c r="F613" t="s">
        <v>145</v>
      </c>
    </row>
    <row r="614" spans="1:6">
      <c r="A614" t="s">
        <v>36</v>
      </c>
      <c r="B614" t="s">
        <v>542</v>
      </c>
      <c r="C614" t="s">
        <v>612</v>
      </c>
      <c r="D614" t="s">
        <v>144</v>
      </c>
      <c r="E614" t="s">
        <v>605</v>
      </c>
      <c r="F614" t="s">
        <v>145</v>
      </c>
    </row>
    <row r="615" spans="1:6">
      <c r="A615" t="s">
        <v>36</v>
      </c>
      <c r="B615" t="s">
        <v>542</v>
      </c>
      <c r="C615" t="s">
        <v>613</v>
      </c>
      <c r="D615" t="s">
        <v>144</v>
      </c>
      <c r="E615" t="s">
        <v>605</v>
      </c>
      <c r="F615" t="s">
        <v>145</v>
      </c>
    </row>
    <row r="616" spans="1:6">
      <c r="A616" t="s">
        <v>36</v>
      </c>
      <c r="B616" t="s">
        <v>337</v>
      </c>
      <c r="C616" t="s">
        <v>614</v>
      </c>
      <c r="D616" t="s">
        <v>164</v>
      </c>
      <c r="E616" t="s">
        <v>615</v>
      </c>
      <c r="F616" t="s">
        <v>337</v>
      </c>
    </row>
    <row r="617" spans="1:6">
      <c r="A617" t="s">
        <v>36</v>
      </c>
      <c r="B617" t="s">
        <v>337</v>
      </c>
      <c r="C617" t="s">
        <v>616</v>
      </c>
      <c r="D617" t="s">
        <v>144</v>
      </c>
      <c r="E617" t="s">
        <v>615</v>
      </c>
      <c r="F617" t="s">
        <v>337</v>
      </c>
    </row>
    <row r="618" spans="1:6">
      <c r="A618" t="s">
        <v>36</v>
      </c>
      <c r="B618" t="s">
        <v>337</v>
      </c>
      <c r="C618" t="s">
        <v>617</v>
      </c>
      <c r="D618" t="s">
        <v>144</v>
      </c>
      <c r="E618" t="s">
        <v>615</v>
      </c>
      <c r="F618" t="s">
        <v>337</v>
      </c>
    </row>
    <row r="619" spans="1:6">
      <c r="A619" t="s">
        <v>36</v>
      </c>
      <c r="B619" t="s">
        <v>337</v>
      </c>
      <c r="C619" t="s">
        <v>618</v>
      </c>
      <c r="D619" t="s">
        <v>144</v>
      </c>
      <c r="E619" t="s">
        <v>615</v>
      </c>
      <c r="F619" t="s">
        <v>337</v>
      </c>
    </row>
    <row r="620" spans="1:6">
      <c r="A620" t="s">
        <v>36</v>
      </c>
      <c r="B620" t="s">
        <v>337</v>
      </c>
      <c r="C620" t="s">
        <v>619</v>
      </c>
      <c r="D620" t="s">
        <v>144</v>
      </c>
      <c r="E620" t="s">
        <v>615</v>
      </c>
      <c r="F620" t="s">
        <v>337</v>
      </c>
    </row>
    <row r="621" spans="1:6">
      <c r="A621" t="s">
        <v>36</v>
      </c>
      <c r="B621" t="s">
        <v>158</v>
      </c>
      <c r="C621" t="s">
        <v>510</v>
      </c>
      <c r="D621" t="s">
        <v>217</v>
      </c>
      <c r="F621" t="s">
        <v>145</v>
      </c>
    </row>
    <row r="622" spans="1:6">
      <c r="A622" t="s">
        <v>36</v>
      </c>
      <c r="B622" t="s">
        <v>158</v>
      </c>
      <c r="C622" t="s">
        <v>69</v>
      </c>
      <c r="D622" t="s">
        <v>217</v>
      </c>
      <c r="F622" t="s">
        <v>145</v>
      </c>
    </row>
    <row r="623" spans="1:6">
      <c r="A623" t="s">
        <v>36</v>
      </c>
      <c r="B623" t="s">
        <v>158</v>
      </c>
      <c r="C623" t="s">
        <v>494</v>
      </c>
      <c r="D623" t="s">
        <v>217</v>
      </c>
      <c r="F623" t="s">
        <v>337</v>
      </c>
    </row>
    <row r="624" spans="1:6">
      <c r="A624" t="s">
        <v>36</v>
      </c>
      <c r="B624" t="s">
        <v>158</v>
      </c>
      <c r="C624" t="s">
        <v>350</v>
      </c>
      <c r="D624" t="s">
        <v>409</v>
      </c>
      <c r="F624" t="s">
        <v>145</v>
      </c>
    </row>
    <row r="625" spans="1:6">
      <c r="A625" t="s">
        <v>36</v>
      </c>
      <c r="B625" t="s">
        <v>158</v>
      </c>
      <c r="C625" t="s">
        <v>408</v>
      </c>
      <c r="D625" t="s">
        <v>409</v>
      </c>
      <c r="F625" t="s">
        <v>145</v>
      </c>
    </row>
    <row r="626" spans="1:6">
      <c r="A626" t="s">
        <v>36</v>
      </c>
      <c r="B626" t="s">
        <v>158</v>
      </c>
      <c r="C626" t="s">
        <v>589</v>
      </c>
      <c r="D626" t="s">
        <v>560</v>
      </c>
      <c r="F626" t="s">
        <v>337</v>
      </c>
    </row>
    <row r="627" spans="1:6">
      <c r="A627" t="s">
        <v>36</v>
      </c>
      <c r="B627" t="s">
        <v>158</v>
      </c>
      <c r="C627" t="s">
        <v>257</v>
      </c>
      <c r="D627" t="s">
        <v>160</v>
      </c>
      <c r="F627" t="s">
        <v>145</v>
      </c>
    </row>
    <row r="628" spans="1:6">
      <c r="A628" t="s">
        <v>28</v>
      </c>
      <c r="B628" t="s">
        <v>525</v>
      </c>
      <c r="C628" t="s">
        <v>593</v>
      </c>
      <c r="D628" t="s">
        <v>164</v>
      </c>
      <c r="E628" t="s">
        <v>620</v>
      </c>
      <c r="F628" t="s">
        <v>145</v>
      </c>
    </row>
    <row r="629" spans="1:6">
      <c r="A629" t="s">
        <v>28</v>
      </c>
      <c r="B629" t="s">
        <v>525</v>
      </c>
      <c r="C629" t="s">
        <v>621</v>
      </c>
      <c r="D629" t="s">
        <v>144</v>
      </c>
      <c r="E629" t="s">
        <v>620</v>
      </c>
      <c r="F629" t="s">
        <v>145</v>
      </c>
    </row>
    <row r="630" spans="1:6">
      <c r="A630" t="s">
        <v>28</v>
      </c>
      <c r="B630" t="s">
        <v>525</v>
      </c>
      <c r="C630" t="s">
        <v>622</v>
      </c>
      <c r="D630" t="s">
        <v>144</v>
      </c>
      <c r="E630" t="s">
        <v>620</v>
      </c>
      <c r="F630" t="s">
        <v>145</v>
      </c>
    </row>
    <row r="631" spans="1:6">
      <c r="A631" t="s">
        <v>28</v>
      </c>
      <c r="B631" t="s">
        <v>525</v>
      </c>
      <c r="C631" t="s">
        <v>623</v>
      </c>
      <c r="D631" t="s">
        <v>144</v>
      </c>
      <c r="E631" t="s">
        <v>620</v>
      </c>
      <c r="F631" t="s">
        <v>145</v>
      </c>
    </row>
    <row r="632" spans="1:6">
      <c r="A632" t="s">
        <v>28</v>
      </c>
      <c r="B632" t="s">
        <v>525</v>
      </c>
      <c r="C632" t="s">
        <v>624</v>
      </c>
      <c r="D632" t="s">
        <v>144</v>
      </c>
      <c r="E632" t="s">
        <v>620</v>
      </c>
      <c r="F632" t="s">
        <v>145</v>
      </c>
    </row>
    <row r="633" spans="1:6">
      <c r="A633" t="s">
        <v>28</v>
      </c>
      <c r="B633" t="s">
        <v>384</v>
      </c>
      <c r="C633" t="s">
        <v>569</v>
      </c>
      <c r="D633" t="s">
        <v>164</v>
      </c>
      <c r="F633" t="s">
        <v>145</v>
      </c>
    </row>
    <row r="634" spans="1:6">
      <c r="A634" t="s">
        <v>28</v>
      </c>
      <c r="B634" t="s">
        <v>384</v>
      </c>
      <c r="C634" t="s">
        <v>625</v>
      </c>
      <c r="D634" t="s">
        <v>144</v>
      </c>
      <c r="F634" t="s">
        <v>145</v>
      </c>
    </row>
    <row r="635" spans="1:6">
      <c r="A635" t="s">
        <v>28</v>
      </c>
      <c r="B635" t="s">
        <v>384</v>
      </c>
      <c r="C635" t="s">
        <v>626</v>
      </c>
      <c r="D635" t="s">
        <v>144</v>
      </c>
      <c r="F635" t="s">
        <v>145</v>
      </c>
    </row>
    <row r="636" spans="1:6">
      <c r="A636" t="s">
        <v>28</v>
      </c>
      <c r="B636" t="s">
        <v>384</v>
      </c>
      <c r="C636" t="s">
        <v>627</v>
      </c>
      <c r="D636" t="s">
        <v>144</v>
      </c>
      <c r="F636" t="s">
        <v>145</v>
      </c>
    </row>
    <row r="637" spans="1:6">
      <c r="A637" t="s">
        <v>28</v>
      </c>
      <c r="B637" t="s">
        <v>384</v>
      </c>
      <c r="C637" t="s">
        <v>628</v>
      </c>
      <c r="D637" t="s">
        <v>144</v>
      </c>
      <c r="F637" t="s">
        <v>145</v>
      </c>
    </row>
    <row r="638" spans="1:6">
      <c r="A638" t="s">
        <v>28</v>
      </c>
      <c r="B638" t="s">
        <v>535</v>
      </c>
      <c r="C638" t="s">
        <v>600</v>
      </c>
      <c r="D638" t="s">
        <v>164</v>
      </c>
      <c r="E638" t="s">
        <v>629</v>
      </c>
      <c r="F638" t="s">
        <v>145</v>
      </c>
    </row>
    <row r="639" spans="1:6">
      <c r="A639" t="s">
        <v>28</v>
      </c>
      <c r="B639" t="s">
        <v>535</v>
      </c>
      <c r="C639" t="s">
        <v>630</v>
      </c>
      <c r="D639" t="s">
        <v>144</v>
      </c>
      <c r="E639" t="s">
        <v>629</v>
      </c>
      <c r="F639" t="s">
        <v>145</v>
      </c>
    </row>
    <row r="640" spans="1:6">
      <c r="A640" t="s">
        <v>28</v>
      </c>
      <c r="B640" t="s">
        <v>535</v>
      </c>
      <c r="C640" t="s">
        <v>631</v>
      </c>
      <c r="D640" t="s">
        <v>144</v>
      </c>
      <c r="E640" t="s">
        <v>629</v>
      </c>
      <c r="F640" t="s">
        <v>145</v>
      </c>
    </row>
    <row r="641" spans="1:6">
      <c r="A641" t="s">
        <v>28</v>
      </c>
      <c r="B641" t="s">
        <v>535</v>
      </c>
      <c r="C641" t="s">
        <v>632</v>
      </c>
      <c r="D641" t="s">
        <v>144</v>
      </c>
      <c r="E641" t="s">
        <v>629</v>
      </c>
      <c r="F641" t="s">
        <v>145</v>
      </c>
    </row>
    <row r="642" spans="1:6">
      <c r="A642" t="s">
        <v>28</v>
      </c>
      <c r="B642" t="s">
        <v>535</v>
      </c>
      <c r="C642" t="s">
        <v>53</v>
      </c>
      <c r="D642" t="s">
        <v>144</v>
      </c>
      <c r="E642" t="s">
        <v>629</v>
      </c>
      <c r="F642" t="s">
        <v>145</v>
      </c>
    </row>
    <row r="643" spans="1:6">
      <c r="A643" t="s">
        <v>28</v>
      </c>
      <c r="B643" t="s">
        <v>535</v>
      </c>
      <c r="C643" t="s">
        <v>633</v>
      </c>
      <c r="D643" t="s">
        <v>144</v>
      </c>
      <c r="E643" t="s">
        <v>629</v>
      </c>
      <c r="F643" t="s">
        <v>145</v>
      </c>
    </row>
    <row r="644" spans="1:6">
      <c r="A644" t="s">
        <v>28</v>
      </c>
      <c r="B644" t="s">
        <v>542</v>
      </c>
      <c r="C644" t="s">
        <v>509</v>
      </c>
      <c r="D644" t="s">
        <v>164</v>
      </c>
      <c r="E644" t="s">
        <v>629</v>
      </c>
      <c r="F644" t="s">
        <v>145</v>
      </c>
    </row>
    <row r="645" spans="1:6">
      <c r="A645" t="s">
        <v>28</v>
      </c>
      <c r="B645" t="s">
        <v>542</v>
      </c>
      <c r="C645" t="s">
        <v>634</v>
      </c>
      <c r="D645" t="s">
        <v>144</v>
      </c>
      <c r="E645" t="s">
        <v>629</v>
      </c>
      <c r="F645" t="s">
        <v>145</v>
      </c>
    </row>
    <row r="646" spans="1:6">
      <c r="A646" t="s">
        <v>28</v>
      </c>
      <c r="B646" t="s">
        <v>542</v>
      </c>
      <c r="C646" t="s">
        <v>607</v>
      </c>
      <c r="D646" t="s">
        <v>144</v>
      </c>
      <c r="E646" t="s">
        <v>629</v>
      </c>
      <c r="F646" t="s">
        <v>145</v>
      </c>
    </row>
    <row r="647" spans="1:6">
      <c r="A647" t="s">
        <v>28</v>
      </c>
      <c r="B647" t="s">
        <v>542</v>
      </c>
      <c r="C647" t="s">
        <v>635</v>
      </c>
      <c r="D647" t="s">
        <v>144</v>
      </c>
      <c r="E647" t="s">
        <v>629</v>
      </c>
      <c r="F647" t="s">
        <v>145</v>
      </c>
    </row>
    <row r="648" spans="1:6">
      <c r="A648" t="s">
        <v>28</v>
      </c>
      <c r="B648" t="s">
        <v>542</v>
      </c>
      <c r="C648" t="s">
        <v>636</v>
      </c>
      <c r="D648" t="s">
        <v>144</v>
      </c>
      <c r="E648" t="s">
        <v>629</v>
      </c>
      <c r="F648" t="s">
        <v>145</v>
      </c>
    </row>
    <row r="649" spans="1:6">
      <c r="A649" t="s">
        <v>28</v>
      </c>
      <c r="B649" t="s">
        <v>547</v>
      </c>
      <c r="C649" t="s">
        <v>563</v>
      </c>
      <c r="D649" t="s">
        <v>164</v>
      </c>
      <c r="E649" t="s">
        <v>637</v>
      </c>
      <c r="F649" t="s">
        <v>145</v>
      </c>
    </row>
    <row r="650" spans="1:6">
      <c r="A650" t="s">
        <v>28</v>
      </c>
      <c r="B650" t="s">
        <v>547</v>
      </c>
      <c r="C650" t="s">
        <v>638</v>
      </c>
      <c r="D650" t="s">
        <v>144</v>
      </c>
      <c r="E650" t="s">
        <v>637</v>
      </c>
      <c r="F650" t="s">
        <v>145</v>
      </c>
    </row>
    <row r="651" spans="1:6">
      <c r="A651" t="s">
        <v>28</v>
      </c>
      <c r="B651" t="s">
        <v>547</v>
      </c>
      <c r="C651" t="s">
        <v>639</v>
      </c>
      <c r="D651" t="s">
        <v>144</v>
      </c>
      <c r="E651" t="s">
        <v>637</v>
      </c>
      <c r="F651" t="s">
        <v>145</v>
      </c>
    </row>
    <row r="652" spans="1:6">
      <c r="A652" t="s">
        <v>28</v>
      </c>
      <c r="B652" t="s">
        <v>547</v>
      </c>
      <c r="C652" t="s">
        <v>640</v>
      </c>
      <c r="D652" t="s">
        <v>144</v>
      </c>
      <c r="E652" t="s">
        <v>637</v>
      </c>
      <c r="F652" t="s">
        <v>145</v>
      </c>
    </row>
    <row r="653" spans="1:6">
      <c r="A653" t="s">
        <v>28</v>
      </c>
      <c r="B653" t="s">
        <v>547</v>
      </c>
      <c r="C653" t="s">
        <v>641</v>
      </c>
      <c r="D653" t="s">
        <v>144</v>
      </c>
      <c r="E653" t="s">
        <v>637</v>
      </c>
      <c r="F653" t="s">
        <v>145</v>
      </c>
    </row>
    <row r="654" spans="1:6">
      <c r="A654" t="s">
        <v>28</v>
      </c>
      <c r="B654" t="s">
        <v>10</v>
      </c>
      <c r="C654" t="s">
        <v>17</v>
      </c>
      <c r="D654" t="s">
        <v>164</v>
      </c>
      <c r="E654" t="s">
        <v>642</v>
      </c>
      <c r="F654" t="s">
        <v>145</v>
      </c>
    </row>
    <row r="655" spans="1:6">
      <c r="A655" t="s">
        <v>28</v>
      </c>
      <c r="B655" t="s">
        <v>10</v>
      </c>
      <c r="C655" t="s">
        <v>31</v>
      </c>
      <c r="D655" t="s">
        <v>144</v>
      </c>
      <c r="E655" t="s">
        <v>642</v>
      </c>
      <c r="F655" t="s">
        <v>145</v>
      </c>
    </row>
    <row r="656" spans="1:6">
      <c r="A656" t="s">
        <v>28</v>
      </c>
      <c r="B656" t="s">
        <v>10</v>
      </c>
      <c r="C656" t="s">
        <v>30</v>
      </c>
      <c r="D656" t="s">
        <v>144</v>
      </c>
      <c r="E656" t="s">
        <v>642</v>
      </c>
      <c r="F656" t="s">
        <v>145</v>
      </c>
    </row>
    <row r="657" spans="1:6">
      <c r="A657" t="s">
        <v>28</v>
      </c>
      <c r="B657" t="s">
        <v>10</v>
      </c>
      <c r="C657" t="s">
        <v>33</v>
      </c>
      <c r="D657" t="s">
        <v>144</v>
      </c>
      <c r="E657" t="s">
        <v>642</v>
      </c>
      <c r="F657" t="s">
        <v>145</v>
      </c>
    </row>
    <row r="658" spans="1:6">
      <c r="A658" t="s">
        <v>28</v>
      </c>
      <c r="B658" t="s">
        <v>10</v>
      </c>
      <c r="C658" t="s">
        <v>34</v>
      </c>
      <c r="D658" t="s">
        <v>144</v>
      </c>
      <c r="E658" t="s">
        <v>642</v>
      </c>
      <c r="F658" t="s">
        <v>145</v>
      </c>
    </row>
    <row r="659" spans="1:6">
      <c r="A659" t="s">
        <v>28</v>
      </c>
      <c r="B659" t="s">
        <v>10</v>
      </c>
      <c r="C659" t="s">
        <v>29</v>
      </c>
      <c r="D659" t="s">
        <v>144</v>
      </c>
      <c r="E659" t="s">
        <v>642</v>
      </c>
      <c r="F659" t="s">
        <v>145</v>
      </c>
    </row>
    <row r="660" spans="1:6">
      <c r="A660" t="s">
        <v>28</v>
      </c>
      <c r="B660" t="s">
        <v>337</v>
      </c>
      <c r="C660" t="s">
        <v>617</v>
      </c>
      <c r="D660" t="s">
        <v>164</v>
      </c>
      <c r="E660" t="s">
        <v>643</v>
      </c>
      <c r="F660" t="s">
        <v>337</v>
      </c>
    </row>
    <row r="661" spans="1:6">
      <c r="A661" t="s">
        <v>28</v>
      </c>
      <c r="B661" t="s">
        <v>337</v>
      </c>
      <c r="C661" t="s">
        <v>644</v>
      </c>
      <c r="D661" t="s">
        <v>144</v>
      </c>
      <c r="E661" t="s">
        <v>643</v>
      </c>
      <c r="F661" t="s">
        <v>337</v>
      </c>
    </row>
    <row r="662" spans="1:6">
      <c r="A662" t="s">
        <v>28</v>
      </c>
      <c r="B662" t="s">
        <v>337</v>
      </c>
      <c r="C662" t="s">
        <v>645</v>
      </c>
      <c r="D662" t="s">
        <v>144</v>
      </c>
      <c r="E662" t="s">
        <v>643</v>
      </c>
      <c r="F662" t="s">
        <v>337</v>
      </c>
    </row>
    <row r="663" spans="1:6">
      <c r="A663" t="s">
        <v>28</v>
      </c>
      <c r="B663" t="s">
        <v>337</v>
      </c>
      <c r="C663" t="s">
        <v>646</v>
      </c>
      <c r="D663" t="s">
        <v>144</v>
      </c>
      <c r="E663" t="s">
        <v>643</v>
      </c>
      <c r="F663" t="s">
        <v>337</v>
      </c>
    </row>
    <row r="664" spans="1:6">
      <c r="A664" t="s">
        <v>28</v>
      </c>
      <c r="B664" t="s">
        <v>647</v>
      </c>
      <c r="C664" t="s">
        <v>476</v>
      </c>
      <c r="D664" t="s">
        <v>164</v>
      </c>
      <c r="E664" t="s">
        <v>648</v>
      </c>
      <c r="F664" t="s">
        <v>647</v>
      </c>
    </row>
    <row r="665" spans="1:6">
      <c r="A665" t="s">
        <v>28</v>
      </c>
      <c r="B665" t="s">
        <v>647</v>
      </c>
      <c r="C665" t="s">
        <v>649</v>
      </c>
      <c r="D665" t="s">
        <v>144</v>
      </c>
      <c r="E665" t="s">
        <v>648</v>
      </c>
      <c r="F665" t="s">
        <v>647</v>
      </c>
    </row>
    <row r="666" spans="1:6">
      <c r="A666" t="s">
        <v>28</v>
      </c>
      <c r="B666" t="s">
        <v>647</v>
      </c>
      <c r="C666" t="s">
        <v>650</v>
      </c>
      <c r="D666" t="s">
        <v>144</v>
      </c>
      <c r="E666" t="s">
        <v>648</v>
      </c>
      <c r="F666" t="s">
        <v>647</v>
      </c>
    </row>
    <row r="667" spans="1:6">
      <c r="A667" t="s">
        <v>28</v>
      </c>
      <c r="B667" t="s">
        <v>647</v>
      </c>
      <c r="C667" t="s">
        <v>651</v>
      </c>
      <c r="D667" t="s">
        <v>144</v>
      </c>
      <c r="E667" t="s">
        <v>648</v>
      </c>
      <c r="F667" t="s">
        <v>647</v>
      </c>
    </row>
    <row r="668" spans="1:6">
      <c r="A668" t="s">
        <v>28</v>
      </c>
      <c r="B668" t="s">
        <v>647</v>
      </c>
      <c r="C668" t="s">
        <v>652</v>
      </c>
      <c r="D668" t="s">
        <v>144</v>
      </c>
      <c r="E668" t="s">
        <v>648</v>
      </c>
      <c r="F668" t="s">
        <v>647</v>
      </c>
    </row>
    <row r="669" spans="1:6">
      <c r="A669" t="s">
        <v>28</v>
      </c>
      <c r="B669" t="s">
        <v>158</v>
      </c>
      <c r="C669" t="s">
        <v>510</v>
      </c>
      <c r="D669" t="s">
        <v>217</v>
      </c>
      <c r="F669" t="s">
        <v>145</v>
      </c>
    </row>
    <row r="670" spans="1:6">
      <c r="A670" t="s">
        <v>28</v>
      </c>
      <c r="B670" t="s">
        <v>158</v>
      </c>
      <c r="C670" t="s">
        <v>552</v>
      </c>
      <c r="D670" t="s">
        <v>217</v>
      </c>
      <c r="F670" t="s">
        <v>145</v>
      </c>
    </row>
    <row r="671" spans="1:6">
      <c r="A671" t="s">
        <v>28</v>
      </c>
      <c r="B671" t="s">
        <v>158</v>
      </c>
      <c r="C671" t="s">
        <v>15</v>
      </c>
      <c r="D671" t="s">
        <v>217</v>
      </c>
      <c r="F671" t="s">
        <v>145</v>
      </c>
    </row>
    <row r="672" spans="1:6">
      <c r="A672" t="s">
        <v>28</v>
      </c>
      <c r="B672" t="s">
        <v>158</v>
      </c>
      <c r="C672" t="s">
        <v>614</v>
      </c>
      <c r="D672" t="s">
        <v>217</v>
      </c>
      <c r="F672" t="s">
        <v>337</v>
      </c>
    </row>
    <row r="673" spans="1:6">
      <c r="A673" t="s">
        <v>28</v>
      </c>
      <c r="B673" t="s">
        <v>158</v>
      </c>
      <c r="C673" t="s">
        <v>350</v>
      </c>
      <c r="D673" t="s">
        <v>653</v>
      </c>
      <c r="F673" t="s">
        <v>145</v>
      </c>
    </row>
    <row r="674" spans="1:6">
      <c r="A674" t="s">
        <v>28</v>
      </c>
      <c r="B674" t="s">
        <v>158</v>
      </c>
      <c r="C674" t="s">
        <v>408</v>
      </c>
      <c r="D674" t="s">
        <v>409</v>
      </c>
      <c r="F674" t="s">
        <v>145</v>
      </c>
    </row>
    <row r="675" spans="1:6">
      <c r="A675" t="s">
        <v>28</v>
      </c>
      <c r="B675" t="s">
        <v>158</v>
      </c>
      <c r="C675" t="s">
        <v>69</v>
      </c>
      <c r="D675" t="s">
        <v>654</v>
      </c>
      <c r="F675" t="s">
        <v>145</v>
      </c>
    </row>
    <row r="676" spans="1:6">
      <c r="A676" t="s">
        <v>28</v>
      </c>
      <c r="B676" t="s">
        <v>158</v>
      </c>
      <c r="C676" t="s">
        <v>589</v>
      </c>
      <c r="D676" t="s">
        <v>473</v>
      </c>
      <c r="F676" t="s">
        <v>337</v>
      </c>
    </row>
    <row r="677" spans="1:6">
      <c r="A677" t="s">
        <v>28</v>
      </c>
      <c r="B677" t="s">
        <v>158</v>
      </c>
      <c r="C677" t="s">
        <v>257</v>
      </c>
      <c r="D677" t="s">
        <v>160</v>
      </c>
      <c r="F677" t="s">
        <v>145</v>
      </c>
    </row>
    <row r="678" spans="1:6">
      <c r="A678" t="s">
        <v>49</v>
      </c>
      <c r="B678" t="s">
        <v>525</v>
      </c>
      <c r="C678" t="s">
        <v>623</v>
      </c>
      <c r="D678" t="s">
        <v>164</v>
      </c>
      <c r="E678" t="s">
        <v>655</v>
      </c>
      <c r="F678" t="s">
        <v>145</v>
      </c>
    </row>
    <row r="679" spans="1:6">
      <c r="A679" t="s">
        <v>49</v>
      </c>
      <c r="B679" t="s">
        <v>525</v>
      </c>
      <c r="C679" t="s">
        <v>656</v>
      </c>
      <c r="D679" t="s">
        <v>144</v>
      </c>
      <c r="E679" t="s">
        <v>655</v>
      </c>
      <c r="F679" t="s">
        <v>145</v>
      </c>
    </row>
    <row r="680" spans="1:6">
      <c r="A680" t="s">
        <v>49</v>
      </c>
      <c r="B680" t="s">
        <v>525</v>
      </c>
      <c r="C680" t="s">
        <v>657</v>
      </c>
      <c r="D680" t="s">
        <v>144</v>
      </c>
      <c r="E680" t="s">
        <v>655</v>
      </c>
      <c r="F680" t="s">
        <v>145</v>
      </c>
    </row>
    <row r="681" spans="1:6">
      <c r="A681" t="s">
        <v>49</v>
      </c>
      <c r="B681" t="s">
        <v>525</v>
      </c>
      <c r="C681" t="s">
        <v>658</v>
      </c>
      <c r="D681" t="s">
        <v>144</v>
      </c>
      <c r="E681" t="s">
        <v>655</v>
      </c>
      <c r="F681" t="s">
        <v>145</v>
      </c>
    </row>
    <row r="682" spans="1:6">
      <c r="A682" t="s">
        <v>49</v>
      </c>
      <c r="B682" t="s">
        <v>525</v>
      </c>
      <c r="C682" t="s">
        <v>659</v>
      </c>
      <c r="D682" t="s">
        <v>144</v>
      </c>
      <c r="E682" t="s">
        <v>655</v>
      </c>
      <c r="F682" t="s">
        <v>145</v>
      </c>
    </row>
    <row r="683" spans="1:6">
      <c r="A683" t="s">
        <v>49</v>
      </c>
      <c r="B683" t="s">
        <v>384</v>
      </c>
      <c r="C683" t="s">
        <v>628</v>
      </c>
      <c r="D683" t="s">
        <v>164</v>
      </c>
      <c r="F683" t="s">
        <v>145</v>
      </c>
    </row>
    <row r="684" spans="1:6">
      <c r="A684" t="s">
        <v>49</v>
      </c>
      <c r="B684" t="s">
        <v>384</v>
      </c>
      <c r="C684" t="s">
        <v>660</v>
      </c>
      <c r="D684" t="s">
        <v>144</v>
      </c>
      <c r="F684" t="s">
        <v>145</v>
      </c>
    </row>
    <row r="685" spans="1:6">
      <c r="A685" t="s">
        <v>49</v>
      </c>
      <c r="B685" t="s">
        <v>384</v>
      </c>
      <c r="C685" t="s">
        <v>661</v>
      </c>
      <c r="D685" t="s">
        <v>144</v>
      </c>
      <c r="F685" t="s">
        <v>145</v>
      </c>
    </row>
    <row r="686" spans="1:6">
      <c r="A686" t="s">
        <v>49</v>
      </c>
      <c r="B686" t="s">
        <v>384</v>
      </c>
      <c r="C686" t="s">
        <v>662</v>
      </c>
      <c r="D686" t="s">
        <v>144</v>
      </c>
      <c r="F686" t="s">
        <v>145</v>
      </c>
    </row>
    <row r="687" spans="1:6">
      <c r="A687" t="s">
        <v>49</v>
      </c>
      <c r="B687" t="s">
        <v>384</v>
      </c>
      <c r="C687" t="s">
        <v>663</v>
      </c>
      <c r="D687" t="s">
        <v>144</v>
      </c>
      <c r="F687" t="s">
        <v>145</v>
      </c>
    </row>
    <row r="688" spans="1:6">
      <c r="A688" t="s">
        <v>49</v>
      </c>
      <c r="B688" t="s">
        <v>535</v>
      </c>
      <c r="C688" t="s">
        <v>639</v>
      </c>
      <c r="D688" t="s">
        <v>164</v>
      </c>
      <c r="E688" t="s">
        <v>664</v>
      </c>
      <c r="F688" t="s">
        <v>145</v>
      </c>
    </row>
    <row r="689" spans="1:6">
      <c r="A689" t="s">
        <v>49</v>
      </c>
      <c r="B689" t="s">
        <v>535</v>
      </c>
      <c r="C689" t="s">
        <v>665</v>
      </c>
      <c r="D689" t="s">
        <v>144</v>
      </c>
      <c r="E689" t="s">
        <v>664</v>
      </c>
      <c r="F689" t="s">
        <v>145</v>
      </c>
    </row>
    <row r="690" spans="1:6">
      <c r="A690" t="s">
        <v>49</v>
      </c>
      <c r="B690" t="s">
        <v>535</v>
      </c>
      <c r="C690" t="s">
        <v>666</v>
      </c>
      <c r="D690" t="s">
        <v>144</v>
      </c>
      <c r="E690" t="s">
        <v>664</v>
      </c>
      <c r="F690" t="s">
        <v>145</v>
      </c>
    </row>
    <row r="691" spans="1:6">
      <c r="A691" t="s">
        <v>49</v>
      </c>
      <c r="B691" t="s">
        <v>535</v>
      </c>
      <c r="C691" t="s">
        <v>667</v>
      </c>
      <c r="D691" t="s">
        <v>144</v>
      </c>
      <c r="E691" t="s">
        <v>664</v>
      </c>
      <c r="F691" t="s">
        <v>145</v>
      </c>
    </row>
    <row r="692" spans="1:6">
      <c r="A692" t="s">
        <v>49</v>
      </c>
      <c r="B692" t="s">
        <v>535</v>
      </c>
      <c r="C692" t="s">
        <v>668</v>
      </c>
      <c r="D692" t="s">
        <v>144</v>
      </c>
      <c r="E692" t="s">
        <v>664</v>
      </c>
      <c r="F692" t="s">
        <v>145</v>
      </c>
    </row>
    <row r="693" spans="1:6">
      <c r="A693" t="s">
        <v>49</v>
      </c>
      <c r="B693" t="s">
        <v>542</v>
      </c>
      <c r="C693" t="s">
        <v>669</v>
      </c>
      <c r="D693" t="s">
        <v>164</v>
      </c>
      <c r="E693" t="s">
        <v>664</v>
      </c>
      <c r="F693" t="s">
        <v>145</v>
      </c>
    </row>
    <row r="694" spans="1:6">
      <c r="A694" t="s">
        <v>49</v>
      </c>
      <c r="B694" t="s">
        <v>542</v>
      </c>
      <c r="C694" t="s">
        <v>670</v>
      </c>
      <c r="D694" t="s">
        <v>144</v>
      </c>
      <c r="E694" t="s">
        <v>664</v>
      </c>
      <c r="F694" t="s">
        <v>145</v>
      </c>
    </row>
    <row r="695" spans="1:6">
      <c r="A695" t="s">
        <v>49</v>
      </c>
      <c r="B695" t="s">
        <v>542</v>
      </c>
      <c r="C695" t="s">
        <v>671</v>
      </c>
      <c r="D695" t="s">
        <v>144</v>
      </c>
      <c r="E695" t="s">
        <v>664</v>
      </c>
      <c r="F695" t="s">
        <v>145</v>
      </c>
    </row>
    <row r="696" spans="1:6">
      <c r="A696" t="s">
        <v>49</v>
      </c>
      <c r="B696" t="s">
        <v>542</v>
      </c>
      <c r="C696" t="s">
        <v>672</v>
      </c>
      <c r="D696" t="s">
        <v>144</v>
      </c>
      <c r="E696" t="s">
        <v>664</v>
      </c>
      <c r="F696" t="s">
        <v>145</v>
      </c>
    </row>
    <row r="697" spans="1:6">
      <c r="A697" t="s">
        <v>49</v>
      </c>
      <c r="B697" t="s">
        <v>542</v>
      </c>
      <c r="C697" t="s">
        <v>673</v>
      </c>
      <c r="D697" t="s">
        <v>144</v>
      </c>
      <c r="E697" t="s">
        <v>664</v>
      </c>
      <c r="F697" t="s">
        <v>145</v>
      </c>
    </row>
    <row r="698" spans="1:6">
      <c r="A698" t="s">
        <v>49</v>
      </c>
      <c r="B698" t="s">
        <v>561</v>
      </c>
      <c r="C698" t="s">
        <v>537</v>
      </c>
      <c r="D698" t="s">
        <v>164</v>
      </c>
      <c r="E698" t="s">
        <v>674</v>
      </c>
      <c r="F698" t="s">
        <v>145</v>
      </c>
    </row>
    <row r="699" spans="1:6">
      <c r="A699" t="s">
        <v>49</v>
      </c>
      <c r="B699" t="s">
        <v>561</v>
      </c>
      <c r="C699" t="s">
        <v>675</v>
      </c>
      <c r="D699" t="s">
        <v>144</v>
      </c>
      <c r="E699" t="s">
        <v>674</v>
      </c>
      <c r="F699" t="s">
        <v>145</v>
      </c>
    </row>
    <row r="700" spans="1:6">
      <c r="A700" t="s">
        <v>49</v>
      </c>
      <c r="B700" t="s">
        <v>561</v>
      </c>
      <c r="C700" t="s">
        <v>676</v>
      </c>
      <c r="D700" t="s">
        <v>144</v>
      </c>
      <c r="E700" t="s">
        <v>674</v>
      </c>
      <c r="F700" t="s">
        <v>145</v>
      </c>
    </row>
    <row r="701" spans="1:6">
      <c r="A701" t="s">
        <v>49</v>
      </c>
      <c r="B701" t="s">
        <v>561</v>
      </c>
      <c r="C701" t="s">
        <v>677</v>
      </c>
      <c r="D701" t="s">
        <v>144</v>
      </c>
      <c r="E701" t="s">
        <v>674</v>
      </c>
      <c r="F701" t="s">
        <v>145</v>
      </c>
    </row>
    <row r="702" spans="1:6">
      <c r="A702" t="s">
        <v>49</v>
      </c>
      <c r="B702" t="s">
        <v>561</v>
      </c>
      <c r="C702" t="s">
        <v>678</v>
      </c>
      <c r="D702" t="s">
        <v>144</v>
      </c>
      <c r="E702" t="s">
        <v>674</v>
      </c>
      <c r="F702" t="s">
        <v>145</v>
      </c>
    </row>
    <row r="703" spans="1:6">
      <c r="A703" t="s">
        <v>49</v>
      </c>
      <c r="B703" t="s">
        <v>679</v>
      </c>
      <c r="C703" t="s">
        <v>565</v>
      </c>
      <c r="D703" t="s">
        <v>164</v>
      </c>
      <c r="E703" t="s">
        <v>680</v>
      </c>
      <c r="F703" t="s">
        <v>145</v>
      </c>
    </row>
    <row r="704" spans="1:6">
      <c r="A704" t="s">
        <v>49</v>
      </c>
      <c r="B704" t="s">
        <v>679</v>
      </c>
      <c r="C704" t="s">
        <v>681</v>
      </c>
      <c r="D704" t="s">
        <v>144</v>
      </c>
      <c r="E704" t="s">
        <v>680</v>
      </c>
      <c r="F704" t="s">
        <v>145</v>
      </c>
    </row>
    <row r="705" spans="1:6">
      <c r="A705" t="s">
        <v>49</v>
      </c>
      <c r="B705" t="s">
        <v>679</v>
      </c>
      <c r="C705" t="s">
        <v>682</v>
      </c>
      <c r="D705" t="s">
        <v>144</v>
      </c>
      <c r="E705" t="s">
        <v>680</v>
      </c>
      <c r="F705" t="s">
        <v>145</v>
      </c>
    </row>
    <row r="706" spans="1:6">
      <c r="A706" t="s">
        <v>49</v>
      </c>
      <c r="B706" t="s">
        <v>679</v>
      </c>
      <c r="C706" t="s">
        <v>683</v>
      </c>
      <c r="D706" t="s">
        <v>144</v>
      </c>
      <c r="E706" t="s">
        <v>680</v>
      </c>
      <c r="F706" t="s">
        <v>145</v>
      </c>
    </row>
    <row r="707" spans="1:6">
      <c r="A707" t="s">
        <v>49</v>
      </c>
      <c r="B707" t="s">
        <v>10</v>
      </c>
      <c r="C707" t="s">
        <v>53</v>
      </c>
      <c r="D707" t="s">
        <v>164</v>
      </c>
      <c r="E707" t="s">
        <v>684</v>
      </c>
      <c r="F707" t="s">
        <v>145</v>
      </c>
    </row>
    <row r="708" spans="1:6">
      <c r="A708" t="s">
        <v>49</v>
      </c>
      <c r="B708" t="s">
        <v>10</v>
      </c>
      <c r="C708" t="s">
        <v>50</v>
      </c>
      <c r="D708" t="s">
        <v>144</v>
      </c>
      <c r="E708" t="s">
        <v>684</v>
      </c>
      <c r="F708" t="s">
        <v>145</v>
      </c>
    </row>
    <row r="709" spans="1:6">
      <c r="A709" t="s">
        <v>49</v>
      </c>
      <c r="B709" t="s">
        <v>10</v>
      </c>
      <c r="C709" t="s">
        <v>46</v>
      </c>
      <c r="D709" t="s">
        <v>144</v>
      </c>
      <c r="E709" t="s">
        <v>684</v>
      </c>
      <c r="F709" t="s">
        <v>145</v>
      </c>
    </row>
    <row r="710" spans="1:6">
      <c r="A710" t="s">
        <v>49</v>
      </c>
      <c r="B710" t="s">
        <v>10</v>
      </c>
      <c r="C710" t="s">
        <v>52</v>
      </c>
      <c r="D710" t="s">
        <v>144</v>
      </c>
      <c r="E710" t="s">
        <v>684</v>
      </c>
      <c r="F710" t="s">
        <v>145</v>
      </c>
    </row>
    <row r="711" spans="1:6">
      <c r="A711" t="s">
        <v>49</v>
      </c>
      <c r="B711" t="s">
        <v>10</v>
      </c>
      <c r="C711" t="s">
        <v>51</v>
      </c>
      <c r="D711" t="s">
        <v>144</v>
      </c>
      <c r="E711" t="s">
        <v>684</v>
      </c>
      <c r="F711" t="s">
        <v>145</v>
      </c>
    </row>
    <row r="712" spans="1:6">
      <c r="A712" t="s">
        <v>49</v>
      </c>
      <c r="B712" t="s">
        <v>647</v>
      </c>
      <c r="C712" t="s">
        <v>650</v>
      </c>
      <c r="D712" t="s">
        <v>164</v>
      </c>
      <c r="E712" t="s">
        <v>685</v>
      </c>
      <c r="F712" t="s">
        <v>647</v>
      </c>
    </row>
    <row r="713" spans="1:6">
      <c r="A713" t="s">
        <v>49</v>
      </c>
      <c r="B713" t="s">
        <v>647</v>
      </c>
      <c r="C713" t="s">
        <v>686</v>
      </c>
      <c r="D713" t="s">
        <v>144</v>
      </c>
      <c r="E713" t="s">
        <v>685</v>
      </c>
      <c r="F713" t="s">
        <v>647</v>
      </c>
    </row>
    <row r="714" spans="1:6">
      <c r="A714" t="s">
        <v>49</v>
      </c>
      <c r="B714" t="s">
        <v>647</v>
      </c>
      <c r="C714" t="s">
        <v>687</v>
      </c>
      <c r="D714" t="s">
        <v>144</v>
      </c>
      <c r="E714" t="s">
        <v>685</v>
      </c>
      <c r="F714" t="s">
        <v>647</v>
      </c>
    </row>
    <row r="715" spans="1:6">
      <c r="A715" t="s">
        <v>49</v>
      </c>
      <c r="B715" t="s">
        <v>647</v>
      </c>
      <c r="C715" t="s">
        <v>688</v>
      </c>
      <c r="D715" t="s">
        <v>144</v>
      </c>
      <c r="E715" t="s">
        <v>685</v>
      </c>
      <c r="F715" t="s">
        <v>647</v>
      </c>
    </row>
    <row r="716" spans="1:6">
      <c r="A716" t="s">
        <v>49</v>
      </c>
      <c r="B716" t="s">
        <v>647</v>
      </c>
      <c r="C716" t="s">
        <v>689</v>
      </c>
      <c r="D716" t="s">
        <v>144</v>
      </c>
      <c r="E716" t="s">
        <v>685</v>
      </c>
      <c r="F716" t="s">
        <v>647</v>
      </c>
    </row>
    <row r="717" spans="1:6">
      <c r="A717" t="s">
        <v>49</v>
      </c>
      <c r="B717" t="s">
        <v>337</v>
      </c>
      <c r="C717" t="s">
        <v>645</v>
      </c>
      <c r="D717" t="s">
        <v>164</v>
      </c>
      <c r="E717" t="s">
        <v>690</v>
      </c>
      <c r="F717" t="s">
        <v>337</v>
      </c>
    </row>
    <row r="718" spans="1:6">
      <c r="A718" t="s">
        <v>49</v>
      </c>
      <c r="B718" t="s">
        <v>337</v>
      </c>
      <c r="C718" t="s">
        <v>691</v>
      </c>
      <c r="D718" t="s">
        <v>144</v>
      </c>
      <c r="E718" t="s">
        <v>690</v>
      </c>
      <c r="F718" t="s">
        <v>337</v>
      </c>
    </row>
    <row r="719" spans="1:6">
      <c r="A719" t="s">
        <v>49</v>
      </c>
      <c r="B719" t="s">
        <v>337</v>
      </c>
      <c r="C719" t="s">
        <v>692</v>
      </c>
      <c r="D719" t="s">
        <v>144</v>
      </c>
      <c r="E719" t="s">
        <v>690</v>
      </c>
      <c r="F719" t="s">
        <v>337</v>
      </c>
    </row>
    <row r="720" spans="1:6">
      <c r="A720" t="s">
        <v>49</v>
      </c>
      <c r="B720" t="s">
        <v>158</v>
      </c>
      <c r="C720" t="s">
        <v>552</v>
      </c>
      <c r="D720" t="s">
        <v>217</v>
      </c>
      <c r="F720" t="s">
        <v>145</v>
      </c>
    </row>
    <row r="721" spans="1:6">
      <c r="A721" t="s">
        <v>49</v>
      </c>
      <c r="B721" t="s">
        <v>158</v>
      </c>
      <c r="C721" t="s">
        <v>15</v>
      </c>
      <c r="D721" t="s">
        <v>217</v>
      </c>
      <c r="F721" t="s">
        <v>145</v>
      </c>
    </row>
    <row r="722" spans="1:6">
      <c r="A722" t="s">
        <v>49</v>
      </c>
      <c r="B722" t="s">
        <v>158</v>
      </c>
      <c r="C722" t="s">
        <v>565</v>
      </c>
      <c r="D722" t="s">
        <v>217</v>
      </c>
      <c r="F722" t="s">
        <v>145</v>
      </c>
    </row>
    <row r="723" spans="1:6">
      <c r="A723" t="s">
        <v>49</v>
      </c>
      <c r="B723" t="s">
        <v>158</v>
      </c>
      <c r="C723" t="s">
        <v>614</v>
      </c>
      <c r="D723" t="s">
        <v>217</v>
      </c>
      <c r="F723" t="s">
        <v>337</v>
      </c>
    </row>
    <row r="724" spans="1:6">
      <c r="A724" t="s">
        <v>49</v>
      </c>
      <c r="B724" t="s">
        <v>158</v>
      </c>
      <c r="C724" t="s">
        <v>350</v>
      </c>
      <c r="D724" t="s">
        <v>653</v>
      </c>
      <c r="F724" t="s">
        <v>145</v>
      </c>
    </row>
    <row r="725" spans="1:6">
      <c r="A725" t="s">
        <v>49</v>
      </c>
      <c r="B725" t="s">
        <v>158</v>
      </c>
      <c r="C725" t="s">
        <v>408</v>
      </c>
      <c r="D725" t="s">
        <v>409</v>
      </c>
      <c r="F725" t="s">
        <v>145</v>
      </c>
    </row>
    <row r="726" spans="1:6">
      <c r="A726" t="s">
        <v>49</v>
      </c>
      <c r="B726" t="s">
        <v>158</v>
      </c>
      <c r="C726" t="s">
        <v>69</v>
      </c>
      <c r="D726" t="s">
        <v>654</v>
      </c>
      <c r="F726" t="s">
        <v>145</v>
      </c>
    </row>
    <row r="727" spans="1:6">
      <c r="A727" t="s">
        <v>49</v>
      </c>
      <c r="B727" t="s">
        <v>158</v>
      </c>
      <c r="C727" t="s">
        <v>589</v>
      </c>
      <c r="D727" t="s">
        <v>473</v>
      </c>
      <c r="F727" t="s">
        <v>337</v>
      </c>
    </row>
    <row r="728" spans="1:6">
      <c r="A728" t="s">
        <v>49</v>
      </c>
      <c r="B728" t="s">
        <v>158</v>
      </c>
      <c r="C728" t="s">
        <v>257</v>
      </c>
      <c r="D728" t="s">
        <v>160</v>
      </c>
      <c r="F728" t="s">
        <v>145</v>
      </c>
    </row>
    <row r="729" spans="1:6">
      <c r="A729" t="s">
        <v>42</v>
      </c>
      <c r="B729" t="s">
        <v>561</v>
      </c>
      <c r="C729" t="s">
        <v>693</v>
      </c>
      <c r="D729" t="s">
        <v>164</v>
      </c>
      <c r="E729" t="s">
        <v>694</v>
      </c>
      <c r="F729" t="s">
        <v>145</v>
      </c>
    </row>
    <row r="730" spans="1:6">
      <c r="A730" t="s">
        <v>42</v>
      </c>
      <c r="B730" t="s">
        <v>561</v>
      </c>
      <c r="C730" t="s">
        <v>695</v>
      </c>
      <c r="D730" t="s">
        <v>144</v>
      </c>
      <c r="E730" t="s">
        <v>694</v>
      </c>
      <c r="F730" t="s">
        <v>145</v>
      </c>
    </row>
    <row r="731" spans="1:6">
      <c r="A731" t="s">
        <v>42</v>
      </c>
      <c r="B731" t="s">
        <v>561</v>
      </c>
      <c r="C731" t="s">
        <v>61</v>
      </c>
      <c r="D731" t="s">
        <v>144</v>
      </c>
      <c r="E731" t="s">
        <v>694</v>
      </c>
      <c r="F731" t="s">
        <v>145</v>
      </c>
    </row>
    <row r="732" spans="1:6">
      <c r="A732" t="s">
        <v>42</v>
      </c>
      <c r="B732" t="s">
        <v>561</v>
      </c>
      <c r="C732" t="s">
        <v>696</v>
      </c>
      <c r="D732" t="s">
        <v>144</v>
      </c>
      <c r="E732" t="s">
        <v>694</v>
      </c>
      <c r="F732" t="s">
        <v>145</v>
      </c>
    </row>
    <row r="733" spans="1:6">
      <c r="A733" t="s">
        <v>42</v>
      </c>
      <c r="B733" t="s">
        <v>561</v>
      </c>
      <c r="C733" t="s">
        <v>697</v>
      </c>
      <c r="D733" t="s">
        <v>144</v>
      </c>
      <c r="E733" t="s">
        <v>694</v>
      </c>
      <c r="F733" t="s">
        <v>145</v>
      </c>
    </row>
    <row r="734" spans="1:6">
      <c r="A734" t="s">
        <v>42</v>
      </c>
      <c r="B734" t="s">
        <v>384</v>
      </c>
      <c r="C734" t="s">
        <v>660</v>
      </c>
      <c r="D734" t="s">
        <v>164</v>
      </c>
      <c r="F734" t="s">
        <v>145</v>
      </c>
    </row>
    <row r="735" spans="1:6">
      <c r="A735" t="s">
        <v>42</v>
      </c>
      <c r="B735" t="s">
        <v>384</v>
      </c>
      <c r="C735" t="s">
        <v>698</v>
      </c>
      <c r="D735" t="s">
        <v>144</v>
      </c>
      <c r="F735" t="s">
        <v>145</v>
      </c>
    </row>
    <row r="736" spans="1:6">
      <c r="A736" t="s">
        <v>42</v>
      </c>
      <c r="B736" t="s">
        <v>384</v>
      </c>
      <c r="C736" t="s">
        <v>699</v>
      </c>
      <c r="D736" t="s">
        <v>144</v>
      </c>
      <c r="F736" t="s">
        <v>145</v>
      </c>
    </row>
    <row r="737" spans="1:6">
      <c r="A737" t="s">
        <v>42</v>
      </c>
      <c r="B737" t="s">
        <v>384</v>
      </c>
      <c r="C737" t="s">
        <v>700</v>
      </c>
      <c r="D737" t="s">
        <v>144</v>
      </c>
      <c r="F737" t="s">
        <v>145</v>
      </c>
    </row>
    <row r="738" spans="1:6">
      <c r="A738" t="s">
        <v>42</v>
      </c>
      <c r="B738" t="s">
        <v>679</v>
      </c>
      <c r="C738" t="s">
        <v>682</v>
      </c>
      <c r="D738" t="s">
        <v>164</v>
      </c>
      <c r="E738" t="s">
        <v>701</v>
      </c>
      <c r="F738" t="s">
        <v>145</v>
      </c>
    </row>
    <row r="739" spans="1:6">
      <c r="A739" t="s">
        <v>42</v>
      </c>
      <c r="B739" t="s">
        <v>679</v>
      </c>
      <c r="C739" t="s">
        <v>702</v>
      </c>
      <c r="D739" t="s">
        <v>144</v>
      </c>
      <c r="E739" t="s">
        <v>701</v>
      </c>
      <c r="F739" t="s">
        <v>145</v>
      </c>
    </row>
    <row r="740" spans="1:6">
      <c r="A740" t="s">
        <v>42</v>
      </c>
      <c r="B740" t="s">
        <v>679</v>
      </c>
      <c r="C740" t="s">
        <v>703</v>
      </c>
      <c r="D740" t="s">
        <v>144</v>
      </c>
      <c r="E740" t="s">
        <v>701</v>
      </c>
      <c r="F740" t="s">
        <v>145</v>
      </c>
    </row>
    <row r="741" spans="1:6">
      <c r="A741" t="s">
        <v>42</v>
      </c>
      <c r="B741" t="s">
        <v>679</v>
      </c>
      <c r="C741" t="s">
        <v>704</v>
      </c>
      <c r="D741" t="s">
        <v>144</v>
      </c>
      <c r="E741" t="s">
        <v>701</v>
      </c>
      <c r="F741" t="s">
        <v>145</v>
      </c>
    </row>
    <row r="742" spans="1:6">
      <c r="A742" t="s">
        <v>42</v>
      </c>
      <c r="B742" t="s">
        <v>679</v>
      </c>
      <c r="C742" t="s">
        <v>705</v>
      </c>
      <c r="D742" t="s">
        <v>144</v>
      </c>
      <c r="E742" t="s">
        <v>701</v>
      </c>
      <c r="F742" t="s">
        <v>145</v>
      </c>
    </row>
    <row r="743" spans="1:6">
      <c r="A743" t="s">
        <v>42</v>
      </c>
      <c r="B743" t="s">
        <v>10</v>
      </c>
      <c r="C743" t="s">
        <v>46</v>
      </c>
      <c r="D743" t="s">
        <v>164</v>
      </c>
      <c r="E743" t="s">
        <v>706</v>
      </c>
      <c r="F743" t="s">
        <v>145</v>
      </c>
    </row>
    <row r="744" spans="1:6">
      <c r="A744" t="s">
        <v>42</v>
      </c>
      <c r="B744" t="s">
        <v>10</v>
      </c>
      <c r="C744" t="s">
        <v>44</v>
      </c>
      <c r="D744" t="s">
        <v>144</v>
      </c>
      <c r="E744" t="s">
        <v>706</v>
      </c>
      <c r="F744" t="s">
        <v>145</v>
      </c>
    </row>
    <row r="745" spans="1:6">
      <c r="A745" t="s">
        <v>42</v>
      </c>
      <c r="B745" t="s">
        <v>10</v>
      </c>
      <c r="C745" t="s">
        <v>43</v>
      </c>
      <c r="D745" t="s">
        <v>144</v>
      </c>
      <c r="E745" t="s">
        <v>706</v>
      </c>
      <c r="F745" t="s">
        <v>145</v>
      </c>
    </row>
    <row r="746" spans="1:6">
      <c r="A746" t="s">
        <v>42</v>
      </c>
      <c r="B746" t="s">
        <v>10</v>
      </c>
      <c r="C746" t="s">
        <v>47</v>
      </c>
      <c r="D746" t="s">
        <v>144</v>
      </c>
      <c r="E746" t="s">
        <v>706</v>
      </c>
      <c r="F746" t="s">
        <v>145</v>
      </c>
    </row>
    <row r="747" spans="1:6">
      <c r="A747" t="s">
        <v>42</v>
      </c>
      <c r="B747" t="s">
        <v>10</v>
      </c>
      <c r="C747" t="s">
        <v>45</v>
      </c>
      <c r="D747" t="s">
        <v>144</v>
      </c>
      <c r="E747" t="s">
        <v>706</v>
      </c>
      <c r="F747" t="s">
        <v>145</v>
      </c>
    </row>
    <row r="748" spans="1:6">
      <c r="A748" t="s">
        <v>42</v>
      </c>
      <c r="B748" t="s">
        <v>525</v>
      </c>
      <c r="C748" t="s">
        <v>621</v>
      </c>
      <c r="D748" t="s">
        <v>164</v>
      </c>
      <c r="E748" t="s">
        <v>707</v>
      </c>
      <c r="F748" t="s">
        <v>145</v>
      </c>
    </row>
    <row r="749" spans="1:6">
      <c r="A749" t="s">
        <v>42</v>
      </c>
      <c r="B749" t="s">
        <v>525</v>
      </c>
      <c r="C749" t="s">
        <v>708</v>
      </c>
      <c r="D749" t="s">
        <v>144</v>
      </c>
      <c r="E749" t="s">
        <v>707</v>
      </c>
      <c r="F749" t="s">
        <v>145</v>
      </c>
    </row>
    <row r="750" spans="1:6">
      <c r="A750" t="s">
        <v>42</v>
      </c>
      <c r="B750" t="s">
        <v>525</v>
      </c>
      <c r="C750" t="s">
        <v>709</v>
      </c>
      <c r="D750" t="s">
        <v>144</v>
      </c>
      <c r="E750" t="s">
        <v>707</v>
      </c>
      <c r="F750" t="s">
        <v>145</v>
      </c>
    </row>
    <row r="751" spans="1:6">
      <c r="A751" t="s">
        <v>42</v>
      </c>
      <c r="B751" t="s">
        <v>525</v>
      </c>
      <c r="C751" t="s">
        <v>710</v>
      </c>
      <c r="D751" t="s">
        <v>144</v>
      </c>
      <c r="E751" t="s">
        <v>707</v>
      </c>
      <c r="F751" t="s">
        <v>145</v>
      </c>
    </row>
    <row r="752" spans="1:6">
      <c r="A752" t="s">
        <v>42</v>
      </c>
      <c r="B752" t="s">
        <v>525</v>
      </c>
      <c r="C752" t="s">
        <v>711</v>
      </c>
      <c r="D752" t="s">
        <v>144</v>
      </c>
      <c r="E752" t="s">
        <v>707</v>
      </c>
      <c r="F752" t="s">
        <v>145</v>
      </c>
    </row>
    <row r="753" spans="1:6">
      <c r="A753" t="s">
        <v>42</v>
      </c>
      <c r="B753" t="s">
        <v>535</v>
      </c>
      <c r="C753" t="s">
        <v>627</v>
      </c>
      <c r="D753" t="s">
        <v>164</v>
      </c>
      <c r="E753" t="s">
        <v>712</v>
      </c>
      <c r="F753" t="s">
        <v>145</v>
      </c>
    </row>
    <row r="754" spans="1:6">
      <c r="A754" t="s">
        <v>42</v>
      </c>
      <c r="B754" t="s">
        <v>535</v>
      </c>
      <c r="C754" t="s">
        <v>713</v>
      </c>
      <c r="D754" t="s">
        <v>144</v>
      </c>
      <c r="E754" t="s">
        <v>712</v>
      </c>
      <c r="F754" t="s">
        <v>145</v>
      </c>
    </row>
    <row r="755" spans="1:6">
      <c r="A755" t="s">
        <v>42</v>
      </c>
      <c r="B755" t="s">
        <v>535</v>
      </c>
      <c r="C755" t="s">
        <v>714</v>
      </c>
      <c r="D755" t="s">
        <v>144</v>
      </c>
      <c r="E755" t="s">
        <v>712</v>
      </c>
      <c r="F755" t="s">
        <v>145</v>
      </c>
    </row>
    <row r="756" spans="1:6">
      <c r="A756" t="s">
        <v>42</v>
      </c>
      <c r="B756" t="s">
        <v>535</v>
      </c>
      <c r="C756" t="s">
        <v>715</v>
      </c>
      <c r="D756" t="s">
        <v>144</v>
      </c>
      <c r="E756" t="s">
        <v>712</v>
      </c>
      <c r="F756" t="s">
        <v>145</v>
      </c>
    </row>
    <row r="757" spans="1:6">
      <c r="A757" t="s">
        <v>42</v>
      </c>
      <c r="B757" t="s">
        <v>535</v>
      </c>
      <c r="C757" t="s">
        <v>716</v>
      </c>
      <c r="D757" t="s">
        <v>144</v>
      </c>
      <c r="E757" t="s">
        <v>712</v>
      </c>
      <c r="F757" t="s">
        <v>145</v>
      </c>
    </row>
    <row r="758" spans="1:6">
      <c r="A758" t="s">
        <v>42</v>
      </c>
      <c r="B758" t="s">
        <v>542</v>
      </c>
      <c r="C758" t="s">
        <v>670</v>
      </c>
      <c r="D758" t="s">
        <v>164</v>
      </c>
      <c r="E758" t="s">
        <v>712</v>
      </c>
      <c r="F758" t="s">
        <v>145</v>
      </c>
    </row>
    <row r="759" spans="1:6">
      <c r="A759" t="s">
        <v>42</v>
      </c>
      <c r="B759" t="s">
        <v>542</v>
      </c>
      <c r="C759" t="s">
        <v>666</v>
      </c>
      <c r="D759" t="s">
        <v>144</v>
      </c>
      <c r="E759" t="s">
        <v>712</v>
      </c>
      <c r="F759" t="s">
        <v>145</v>
      </c>
    </row>
    <row r="760" spans="1:6">
      <c r="A760" t="s">
        <v>42</v>
      </c>
      <c r="B760" t="s">
        <v>542</v>
      </c>
      <c r="C760" t="s">
        <v>717</v>
      </c>
      <c r="D760" t="s">
        <v>144</v>
      </c>
      <c r="E760" t="s">
        <v>712</v>
      </c>
      <c r="F760" t="s">
        <v>145</v>
      </c>
    </row>
    <row r="761" spans="1:6">
      <c r="A761" t="s">
        <v>42</v>
      </c>
      <c r="B761" t="s">
        <v>542</v>
      </c>
      <c r="C761" t="s">
        <v>718</v>
      </c>
      <c r="D761" t="s">
        <v>144</v>
      </c>
      <c r="E761" t="s">
        <v>712</v>
      </c>
      <c r="F761" t="s">
        <v>145</v>
      </c>
    </row>
    <row r="762" spans="1:6">
      <c r="A762" t="s">
        <v>42</v>
      </c>
      <c r="B762" t="s">
        <v>542</v>
      </c>
      <c r="C762" t="s">
        <v>719</v>
      </c>
      <c r="D762" t="s">
        <v>144</v>
      </c>
      <c r="E762" t="s">
        <v>712</v>
      </c>
      <c r="F762" t="s">
        <v>145</v>
      </c>
    </row>
    <row r="763" spans="1:6">
      <c r="A763" t="s">
        <v>42</v>
      </c>
      <c r="B763" t="s">
        <v>542</v>
      </c>
      <c r="C763" t="s">
        <v>720</v>
      </c>
      <c r="D763" t="s">
        <v>144</v>
      </c>
      <c r="E763" t="s">
        <v>712</v>
      </c>
      <c r="F763" t="s">
        <v>145</v>
      </c>
    </row>
    <row r="764" spans="1:6">
      <c r="A764" t="s">
        <v>42</v>
      </c>
      <c r="B764" t="s">
        <v>542</v>
      </c>
      <c r="C764" t="s">
        <v>721</v>
      </c>
      <c r="D764" t="s">
        <v>144</v>
      </c>
      <c r="E764" t="s">
        <v>712</v>
      </c>
      <c r="F764" t="s">
        <v>145</v>
      </c>
    </row>
    <row r="765" spans="1:6">
      <c r="A765" t="s">
        <v>42</v>
      </c>
      <c r="B765" t="s">
        <v>647</v>
      </c>
      <c r="C765" t="s">
        <v>689</v>
      </c>
      <c r="D765" t="s">
        <v>164</v>
      </c>
      <c r="E765" t="s">
        <v>722</v>
      </c>
      <c r="F765" t="s">
        <v>647</v>
      </c>
    </row>
    <row r="766" spans="1:6">
      <c r="A766" t="s">
        <v>42</v>
      </c>
      <c r="B766" t="s">
        <v>647</v>
      </c>
      <c r="C766" t="s">
        <v>723</v>
      </c>
      <c r="D766" t="s">
        <v>144</v>
      </c>
      <c r="E766" t="s">
        <v>722</v>
      </c>
      <c r="F766" t="s">
        <v>647</v>
      </c>
    </row>
    <row r="767" spans="1:6">
      <c r="A767" t="s">
        <v>42</v>
      </c>
      <c r="B767" t="s">
        <v>647</v>
      </c>
      <c r="C767" t="s">
        <v>724</v>
      </c>
      <c r="D767" t="s">
        <v>144</v>
      </c>
      <c r="E767" t="s">
        <v>722</v>
      </c>
      <c r="F767" t="s">
        <v>647</v>
      </c>
    </row>
    <row r="768" spans="1:6">
      <c r="A768" t="s">
        <v>42</v>
      </c>
      <c r="B768" t="s">
        <v>647</v>
      </c>
      <c r="C768" t="s">
        <v>725</v>
      </c>
      <c r="D768" t="s">
        <v>144</v>
      </c>
      <c r="E768" t="s">
        <v>722</v>
      </c>
      <c r="F768" t="s">
        <v>647</v>
      </c>
    </row>
    <row r="769" spans="1:6">
      <c r="A769" t="s">
        <v>42</v>
      </c>
      <c r="B769" t="s">
        <v>647</v>
      </c>
      <c r="C769" t="s">
        <v>687</v>
      </c>
      <c r="D769" t="s">
        <v>164</v>
      </c>
      <c r="E769" t="s">
        <v>726</v>
      </c>
      <c r="F769" t="s">
        <v>647</v>
      </c>
    </row>
    <row r="770" spans="1:6">
      <c r="A770" t="s">
        <v>42</v>
      </c>
      <c r="B770" t="s">
        <v>647</v>
      </c>
      <c r="C770" t="s">
        <v>727</v>
      </c>
      <c r="D770" t="s">
        <v>144</v>
      </c>
      <c r="E770" t="s">
        <v>726</v>
      </c>
      <c r="F770" t="s">
        <v>647</v>
      </c>
    </row>
    <row r="771" spans="1:6">
      <c r="A771" t="s">
        <v>42</v>
      </c>
      <c r="B771" t="s">
        <v>647</v>
      </c>
      <c r="C771" t="s">
        <v>728</v>
      </c>
      <c r="D771" t="s">
        <v>144</v>
      </c>
      <c r="E771" t="s">
        <v>726</v>
      </c>
      <c r="F771" t="s">
        <v>647</v>
      </c>
    </row>
    <row r="772" spans="1:6">
      <c r="A772" t="s">
        <v>42</v>
      </c>
      <c r="B772" t="s">
        <v>647</v>
      </c>
      <c r="C772" t="s">
        <v>729</v>
      </c>
      <c r="D772" t="s">
        <v>144</v>
      </c>
      <c r="E772" t="s">
        <v>726</v>
      </c>
      <c r="F772" t="s">
        <v>647</v>
      </c>
    </row>
    <row r="773" spans="1:6">
      <c r="A773" t="s">
        <v>42</v>
      </c>
      <c r="B773" t="s">
        <v>337</v>
      </c>
      <c r="C773" t="s">
        <v>730</v>
      </c>
      <c r="D773" t="s">
        <v>164</v>
      </c>
      <c r="F773" t="s">
        <v>337</v>
      </c>
    </row>
    <row r="774" spans="1:6">
      <c r="A774" t="s">
        <v>42</v>
      </c>
      <c r="B774" t="s">
        <v>337</v>
      </c>
      <c r="C774" t="s">
        <v>731</v>
      </c>
      <c r="D774" t="s">
        <v>144</v>
      </c>
      <c r="F774" t="s">
        <v>337</v>
      </c>
    </row>
    <row r="775" spans="1:6">
      <c r="A775" t="s">
        <v>42</v>
      </c>
      <c r="B775" t="s">
        <v>337</v>
      </c>
      <c r="C775" t="s">
        <v>732</v>
      </c>
      <c r="D775" t="s">
        <v>144</v>
      </c>
      <c r="F775" t="s">
        <v>337</v>
      </c>
    </row>
    <row r="776" spans="1:6">
      <c r="A776" t="s">
        <v>42</v>
      </c>
      <c r="B776" t="s">
        <v>337</v>
      </c>
      <c r="C776" t="s">
        <v>733</v>
      </c>
      <c r="D776" t="s">
        <v>144</v>
      </c>
      <c r="F776" t="s">
        <v>337</v>
      </c>
    </row>
    <row r="777" spans="1:6">
      <c r="A777" t="s">
        <v>42</v>
      </c>
      <c r="B777" t="s">
        <v>158</v>
      </c>
      <c r="C777" t="s">
        <v>552</v>
      </c>
      <c r="D777" t="s">
        <v>217</v>
      </c>
      <c r="F777" t="s">
        <v>145</v>
      </c>
    </row>
    <row r="778" spans="1:6">
      <c r="A778" t="s">
        <v>42</v>
      </c>
      <c r="B778" t="s">
        <v>158</v>
      </c>
      <c r="C778" t="s">
        <v>563</v>
      </c>
      <c r="D778" t="s">
        <v>217</v>
      </c>
      <c r="F778" t="s">
        <v>145</v>
      </c>
    </row>
    <row r="779" spans="1:6">
      <c r="A779" t="s">
        <v>42</v>
      </c>
      <c r="B779" t="s">
        <v>158</v>
      </c>
      <c r="C779" t="s">
        <v>734</v>
      </c>
      <c r="D779" t="s">
        <v>217</v>
      </c>
      <c r="F779" t="s">
        <v>337</v>
      </c>
    </row>
    <row r="780" spans="1:6">
      <c r="A780" t="s">
        <v>42</v>
      </c>
      <c r="B780" t="s">
        <v>158</v>
      </c>
      <c r="C780" t="s">
        <v>350</v>
      </c>
      <c r="D780" t="s">
        <v>653</v>
      </c>
      <c r="F780" t="s">
        <v>145</v>
      </c>
    </row>
    <row r="781" spans="1:6">
      <c r="A781" t="s">
        <v>42</v>
      </c>
      <c r="B781" t="s">
        <v>158</v>
      </c>
      <c r="C781" t="s">
        <v>408</v>
      </c>
      <c r="D781" t="s">
        <v>409</v>
      </c>
      <c r="F781" t="s">
        <v>145</v>
      </c>
    </row>
    <row r="782" spans="1:6">
      <c r="A782" t="s">
        <v>42</v>
      </c>
      <c r="B782" t="s">
        <v>158</v>
      </c>
      <c r="C782" t="s">
        <v>69</v>
      </c>
      <c r="D782" t="s">
        <v>654</v>
      </c>
      <c r="F782" t="s">
        <v>145</v>
      </c>
    </row>
    <row r="783" spans="1:6">
      <c r="A783" t="s">
        <v>42</v>
      </c>
      <c r="B783" t="s">
        <v>158</v>
      </c>
      <c r="C783" t="s">
        <v>589</v>
      </c>
      <c r="D783" t="s">
        <v>473</v>
      </c>
      <c r="F783" t="s">
        <v>145</v>
      </c>
    </row>
    <row r="784" spans="1:6">
      <c r="A784" t="s">
        <v>42</v>
      </c>
      <c r="B784" t="s">
        <v>158</v>
      </c>
      <c r="C784" t="s">
        <v>257</v>
      </c>
      <c r="D784" t="s">
        <v>160</v>
      </c>
      <c r="F784" t="s">
        <v>145</v>
      </c>
    </row>
    <row r="785" spans="1:6">
      <c r="A785" t="s">
        <v>63</v>
      </c>
      <c r="B785" t="s">
        <v>547</v>
      </c>
      <c r="C785" t="s">
        <v>735</v>
      </c>
      <c r="D785" t="s">
        <v>164</v>
      </c>
      <c r="E785" t="s">
        <v>736</v>
      </c>
      <c r="F785" t="s">
        <v>145</v>
      </c>
    </row>
    <row r="786" spans="1:6">
      <c r="A786" t="s">
        <v>63</v>
      </c>
      <c r="B786" t="s">
        <v>547</v>
      </c>
      <c r="C786" t="s">
        <v>737</v>
      </c>
      <c r="D786" t="s">
        <v>144</v>
      </c>
      <c r="E786" t="s">
        <v>736</v>
      </c>
      <c r="F786" t="s">
        <v>145</v>
      </c>
    </row>
    <row r="787" spans="1:6">
      <c r="A787" t="s">
        <v>63</v>
      </c>
      <c r="B787" t="s">
        <v>547</v>
      </c>
      <c r="C787" t="s">
        <v>738</v>
      </c>
      <c r="D787" t="s">
        <v>144</v>
      </c>
      <c r="E787" t="s">
        <v>736</v>
      </c>
      <c r="F787" t="s">
        <v>145</v>
      </c>
    </row>
    <row r="788" spans="1:6">
      <c r="A788" t="s">
        <v>63</v>
      </c>
      <c r="B788" t="s">
        <v>547</v>
      </c>
      <c r="C788" t="s">
        <v>739</v>
      </c>
      <c r="D788" t="s">
        <v>144</v>
      </c>
      <c r="E788" t="s">
        <v>736</v>
      </c>
      <c r="F788" t="s">
        <v>145</v>
      </c>
    </row>
    <row r="789" spans="1:6">
      <c r="A789" t="s">
        <v>63</v>
      </c>
      <c r="B789" t="s">
        <v>384</v>
      </c>
      <c r="C789" t="s">
        <v>662</v>
      </c>
      <c r="D789" t="s">
        <v>164</v>
      </c>
      <c r="F789" t="s">
        <v>145</v>
      </c>
    </row>
    <row r="790" spans="1:6">
      <c r="A790" t="s">
        <v>63</v>
      </c>
      <c r="B790" t="s">
        <v>384</v>
      </c>
      <c r="C790" t="s">
        <v>740</v>
      </c>
      <c r="D790" t="s">
        <v>144</v>
      </c>
      <c r="F790" t="s">
        <v>145</v>
      </c>
    </row>
    <row r="791" spans="1:6">
      <c r="A791" t="s">
        <v>63</v>
      </c>
      <c r="B791" t="s">
        <v>384</v>
      </c>
      <c r="C791" t="s">
        <v>741</v>
      </c>
      <c r="D791" t="s">
        <v>144</v>
      </c>
      <c r="F791" t="s">
        <v>145</v>
      </c>
    </row>
    <row r="792" spans="1:6">
      <c r="A792" t="s">
        <v>63</v>
      </c>
      <c r="B792" t="s">
        <v>384</v>
      </c>
      <c r="C792" t="s">
        <v>742</v>
      </c>
      <c r="D792" t="s">
        <v>144</v>
      </c>
      <c r="F792" t="s">
        <v>145</v>
      </c>
    </row>
    <row r="793" spans="1:6">
      <c r="A793" t="s">
        <v>63</v>
      </c>
      <c r="B793" t="s">
        <v>384</v>
      </c>
      <c r="C793" t="s">
        <v>743</v>
      </c>
      <c r="D793" t="s">
        <v>144</v>
      </c>
      <c r="F793" t="s">
        <v>145</v>
      </c>
    </row>
    <row r="794" spans="1:6">
      <c r="A794" t="s">
        <v>63</v>
      </c>
      <c r="B794" t="s">
        <v>679</v>
      </c>
      <c r="C794" t="s">
        <v>704</v>
      </c>
      <c r="D794" t="s">
        <v>164</v>
      </c>
      <c r="E794" t="s">
        <v>701</v>
      </c>
      <c r="F794" t="s">
        <v>145</v>
      </c>
    </row>
    <row r="795" spans="1:6">
      <c r="A795" t="s">
        <v>63</v>
      </c>
      <c r="B795" t="s">
        <v>679</v>
      </c>
      <c r="C795" t="s">
        <v>744</v>
      </c>
      <c r="D795" t="s">
        <v>144</v>
      </c>
      <c r="E795" t="s">
        <v>701</v>
      </c>
      <c r="F795" t="s">
        <v>145</v>
      </c>
    </row>
    <row r="796" spans="1:6">
      <c r="A796" t="s">
        <v>63</v>
      </c>
      <c r="B796" t="s">
        <v>679</v>
      </c>
      <c r="C796" t="s">
        <v>745</v>
      </c>
      <c r="D796" t="s">
        <v>144</v>
      </c>
      <c r="E796" t="s">
        <v>701</v>
      </c>
      <c r="F796" t="s">
        <v>145</v>
      </c>
    </row>
    <row r="797" spans="1:6">
      <c r="A797" t="s">
        <v>63</v>
      </c>
      <c r="B797" t="s">
        <v>679</v>
      </c>
      <c r="C797" t="s">
        <v>746</v>
      </c>
      <c r="D797" t="s">
        <v>144</v>
      </c>
      <c r="E797" t="s">
        <v>701</v>
      </c>
      <c r="F797" t="s">
        <v>145</v>
      </c>
    </row>
    <row r="798" spans="1:6">
      <c r="A798" t="s">
        <v>63</v>
      </c>
      <c r="B798" t="s">
        <v>535</v>
      </c>
      <c r="C798" t="s">
        <v>45</v>
      </c>
      <c r="D798" t="s">
        <v>164</v>
      </c>
      <c r="E798" t="s">
        <v>747</v>
      </c>
      <c r="F798" t="s">
        <v>145</v>
      </c>
    </row>
    <row r="799" spans="1:6">
      <c r="A799" t="s">
        <v>63</v>
      </c>
      <c r="B799" t="s">
        <v>535</v>
      </c>
      <c r="C799" t="s">
        <v>748</v>
      </c>
      <c r="D799" t="s">
        <v>144</v>
      </c>
      <c r="E799" t="s">
        <v>747</v>
      </c>
      <c r="F799" t="s">
        <v>145</v>
      </c>
    </row>
    <row r="800" spans="1:6">
      <c r="A800" t="s">
        <v>63</v>
      </c>
      <c r="B800" t="s">
        <v>535</v>
      </c>
      <c r="C800" t="s">
        <v>749</v>
      </c>
      <c r="D800" t="s">
        <v>144</v>
      </c>
      <c r="E800" t="s">
        <v>747</v>
      </c>
      <c r="F800" t="s">
        <v>145</v>
      </c>
    </row>
    <row r="801" spans="1:6">
      <c r="A801" t="s">
        <v>63</v>
      </c>
      <c r="B801" t="s">
        <v>535</v>
      </c>
      <c r="C801" t="s">
        <v>750</v>
      </c>
      <c r="D801" t="s">
        <v>144</v>
      </c>
      <c r="E801" t="s">
        <v>747</v>
      </c>
      <c r="F801" t="s">
        <v>145</v>
      </c>
    </row>
    <row r="802" spans="1:6">
      <c r="A802" t="s">
        <v>63</v>
      </c>
      <c r="B802" t="s">
        <v>535</v>
      </c>
      <c r="C802" t="s">
        <v>751</v>
      </c>
      <c r="D802" t="s">
        <v>144</v>
      </c>
      <c r="E802" t="s">
        <v>747</v>
      </c>
      <c r="F802" t="s">
        <v>145</v>
      </c>
    </row>
    <row r="803" spans="1:6">
      <c r="A803" t="s">
        <v>63</v>
      </c>
      <c r="B803" t="s">
        <v>542</v>
      </c>
      <c r="C803" t="s">
        <v>721</v>
      </c>
      <c r="D803" t="s">
        <v>164</v>
      </c>
      <c r="E803" t="s">
        <v>747</v>
      </c>
      <c r="F803" t="s">
        <v>145</v>
      </c>
    </row>
    <row r="804" spans="1:6">
      <c r="A804" t="s">
        <v>63</v>
      </c>
      <c r="B804" t="s">
        <v>542</v>
      </c>
      <c r="C804" t="s">
        <v>752</v>
      </c>
      <c r="D804" t="s">
        <v>144</v>
      </c>
      <c r="E804" t="s">
        <v>747</v>
      </c>
      <c r="F804" t="s">
        <v>145</v>
      </c>
    </row>
    <row r="805" spans="1:6">
      <c r="A805" t="s">
        <v>63</v>
      </c>
      <c r="B805" t="s">
        <v>542</v>
      </c>
      <c r="C805" t="s">
        <v>753</v>
      </c>
      <c r="D805" t="s">
        <v>144</v>
      </c>
      <c r="E805" t="s">
        <v>747</v>
      </c>
      <c r="F805" t="s">
        <v>145</v>
      </c>
    </row>
    <row r="806" spans="1:6">
      <c r="A806" t="s">
        <v>63</v>
      </c>
      <c r="B806" t="s">
        <v>542</v>
      </c>
      <c r="C806" t="s">
        <v>754</v>
      </c>
      <c r="D806" t="s">
        <v>144</v>
      </c>
      <c r="E806" t="s">
        <v>747</v>
      </c>
      <c r="F806" t="s">
        <v>145</v>
      </c>
    </row>
    <row r="807" spans="1:6">
      <c r="A807" t="s">
        <v>63</v>
      </c>
      <c r="B807" t="s">
        <v>542</v>
      </c>
      <c r="C807" t="s">
        <v>755</v>
      </c>
      <c r="D807" t="s">
        <v>144</v>
      </c>
      <c r="E807" t="s">
        <v>747</v>
      </c>
      <c r="F807" t="s">
        <v>145</v>
      </c>
    </row>
    <row r="808" spans="1:6">
      <c r="A808" t="s">
        <v>63</v>
      </c>
      <c r="B808" t="s">
        <v>10</v>
      </c>
      <c r="C808" t="s">
        <v>46</v>
      </c>
      <c r="D808" t="s">
        <v>164</v>
      </c>
      <c r="E808" t="s">
        <v>756</v>
      </c>
      <c r="F808" t="s">
        <v>145</v>
      </c>
    </row>
    <row r="809" spans="1:6">
      <c r="A809" t="s">
        <v>63</v>
      </c>
      <c r="B809" t="s">
        <v>10</v>
      </c>
      <c r="C809" t="s">
        <v>59</v>
      </c>
      <c r="D809" t="s">
        <v>144</v>
      </c>
      <c r="E809" t="s">
        <v>756</v>
      </c>
      <c r="F809" t="s">
        <v>145</v>
      </c>
    </row>
    <row r="810" spans="1:6">
      <c r="A810" t="s">
        <v>63</v>
      </c>
      <c r="B810" t="s">
        <v>10</v>
      </c>
      <c r="C810" t="s">
        <v>66</v>
      </c>
      <c r="D810" t="s">
        <v>144</v>
      </c>
      <c r="E810" t="s">
        <v>756</v>
      </c>
      <c r="F810" t="s">
        <v>145</v>
      </c>
    </row>
    <row r="811" spans="1:6">
      <c r="A811" t="s">
        <v>63</v>
      </c>
      <c r="B811" t="s">
        <v>10</v>
      </c>
      <c r="C811" t="s">
        <v>65</v>
      </c>
      <c r="D811" t="s">
        <v>144</v>
      </c>
      <c r="E811" t="s">
        <v>756</v>
      </c>
      <c r="F811" t="s">
        <v>145</v>
      </c>
    </row>
    <row r="812" spans="1:6">
      <c r="A812" t="s">
        <v>63</v>
      </c>
      <c r="B812" t="s">
        <v>10</v>
      </c>
      <c r="C812" t="s">
        <v>64</v>
      </c>
      <c r="D812" t="s">
        <v>144</v>
      </c>
      <c r="E812" t="s">
        <v>756</v>
      </c>
      <c r="F812" t="s">
        <v>145</v>
      </c>
    </row>
    <row r="813" spans="1:6">
      <c r="A813" t="s">
        <v>63</v>
      </c>
      <c r="B813" t="s">
        <v>757</v>
      </c>
      <c r="C813" t="s">
        <v>666</v>
      </c>
      <c r="D813" t="s">
        <v>144</v>
      </c>
      <c r="E813" t="s">
        <v>758</v>
      </c>
      <c r="F813" t="s">
        <v>145</v>
      </c>
    </row>
    <row r="814" spans="1:6">
      <c r="A814" t="s">
        <v>63</v>
      </c>
      <c r="B814" t="s">
        <v>757</v>
      </c>
      <c r="C814" t="s">
        <v>43</v>
      </c>
      <c r="D814" t="s">
        <v>144</v>
      </c>
      <c r="E814" t="s">
        <v>758</v>
      </c>
      <c r="F814" t="s">
        <v>145</v>
      </c>
    </row>
    <row r="815" spans="1:6">
      <c r="A815" t="s">
        <v>63</v>
      </c>
      <c r="B815" t="s">
        <v>757</v>
      </c>
      <c r="C815" t="s">
        <v>710</v>
      </c>
      <c r="D815" t="s">
        <v>144</v>
      </c>
      <c r="E815" t="s">
        <v>758</v>
      </c>
      <c r="F815" t="s">
        <v>145</v>
      </c>
    </row>
    <row r="816" spans="1:6">
      <c r="A816" t="s">
        <v>63</v>
      </c>
      <c r="B816" t="s">
        <v>647</v>
      </c>
      <c r="C816" t="s">
        <v>652</v>
      </c>
      <c r="D816" t="s">
        <v>164</v>
      </c>
      <c r="E816" t="s">
        <v>759</v>
      </c>
      <c r="F816" t="s">
        <v>647</v>
      </c>
    </row>
    <row r="817" spans="1:6">
      <c r="A817" t="s">
        <v>63</v>
      </c>
      <c r="B817" t="s">
        <v>647</v>
      </c>
      <c r="C817" t="s">
        <v>760</v>
      </c>
      <c r="D817" t="s">
        <v>144</v>
      </c>
      <c r="E817" t="s">
        <v>759</v>
      </c>
      <c r="F817" t="s">
        <v>647</v>
      </c>
    </row>
    <row r="818" spans="1:6">
      <c r="A818" t="s">
        <v>63</v>
      </c>
      <c r="B818" t="s">
        <v>647</v>
      </c>
      <c r="C818" t="s">
        <v>761</v>
      </c>
      <c r="D818" t="s">
        <v>144</v>
      </c>
      <c r="E818" t="s">
        <v>759</v>
      </c>
      <c r="F818" t="s">
        <v>647</v>
      </c>
    </row>
    <row r="819" spans="1:6">
      <c r="A819" t="s">
        <v>63</v>
      </c>
      <c r="B819" t="s">
        <v>647</v>
      </c>
      <c r="C819" t="s">
        <v>762</v>
      </c>
      <c r="D819" t="s">
        <v>144</v>
      </c>
      <c r="E819" t="s">
        <v>759</v>
      </c>
      <c r="F819" t="s">
        <v>647</v>
      </c>
    </row>
    <row r="820" spans="1:6">
      <c r="A820" t="s">
        <v>63</v>
      </c>
      <c r="B820" t="s">
        <v>647</v>
      </c>
      <c r="C820" t="s">
        <v>763</v>
      </c>
      <c r="D820" t="s">
        <v>144</v>
      </c>
      <c r="E820" t="s">
        <v>759</v>
      </c>
      <c r="F820" t="s">
        <v>647</v>
      </c>
    </row>
    <row r="821" spans="1:6">
      <c r="A821" t="s">
        <v>63</v>
      </c>
      <c r="B821" t="s">
        <v>337</v>
      </c>
      <c r="C821" t="s">
        <v>557</v>
      </c>
      <c r="D821" t="s">
        <v>164</v>
      </c>
      <c r="E821" t="s">
        <v>764</v>
      </c>
      <c r="F821" t="s">
        <v>337</v>
      </c>
    </row>
    <row r="822" spans="1:6">
      <c r="A822" t="s">
        <v>63</v>
      </c>
      <c r="B822" t="s">
        <v>337</v>
      </c>
      <c r="C822" t="s">
        <v>765</v>
      </c>
      <c r="D822" t="s">
        <v>144</v>
      </c>
      <c r="E822" t="s">
        <v>764</v>
      </c>
      <c r="F822" t="s">
        <v>337</v>
      </c>
    </row>
    <row r="823" spans="1:6">
      <c r="A823" t="s">
        <v>63</v>
      </c>
      <c r="B823" t="s">
        <v>337</v>
      </c>
      <c r="C823" t="s">
        <v>766</v>
      </c>
      <c r="D823" t="s">
        <v>144</v>
      </c>
      <c r="E823" t="s">
        <v>764</v>
      </c>
      <c r="F823" t="s">
        <v>337</v>
      </c>
    </row>
    <row r="824" spans="1:6">
      <c r="A824" t="s">
        <v>63</v>
      </c>
      <c r="B824" t="s">
        <v>337</v>
      </c>
      <c r="C824" t="s">
        <v>767</v>
      </c>
      <c r="D824" t="s">
        <v>144</v>
      </c>
      <c r="E824" t="s">
        <v>764</v>
      </c>
      <c r="F824" t="s">
        <v>337</v>
      </c>
    </row>
    <row r="825" spans="1:6">
      <c r="A825" t="s">
        <v>63</v>
      </c>
      <c r="B825" t="s">
        <v>337</v>
      </c>
      <c r="C825" t="s">
        <v>768</v>
      </c>
      <c r="D825" t="s">
        <v>144</v>
      </c>
      <c r="E825" t="s">
        <v>764</v>
      </c>
      <c r="F825" t="s">
        <v>337</v>
      </c>
    </row>
    <row r="826" spans="1:6">
      <c r="A826" t="s">
        <v>63</v>
      </c>
      <c r="B826" t="s">
        <v>158</v>
      </c>
      <c r="C826" t="s">
        <v>552</v>
      </c>
      <c r="D826" t="s">
        <v>217</v>
      </c>
      <c r="F826" t="s">
        <v>145</v>
      </c>
    </row>
    <row r="827" spans="1:6">
      <c r="A827" t="s">
        <v>63</v>
      </c>
      <c r="B827" t="s">
        <v>158</v>
      </c>
      <c r="C827" t="s">
        <v>563</v>
      </c>
      <c r="D827" t="s">
        <v>217</v>
      </c>
      <c r="F827" t="s">
        <v>145</v>
      </c>
    </row>
    <row r="828" spans="1:6">
      <c r="A828" t="s">
        <v>63</v>
      </c>
      <c r="B828" t="s">
        <v>158</v>
      </c>
      <c r="C828" t="s">
        <v>623</v>
      </c>
      <c r="D828" t="s">
        <v>217</v>
      </c>
      <c r="F828" t="s">
        <v>145</v>
      </c>
    </row>
    <row r="829" spans="1:6">
      <c r="A829" t="s">
        <v>63</v>
      </c>
      <c r="B829" t="s">
        <v>158</v>
      </c>
      <c r="C829" t="s">
        <v>734</v>
      </c>
      <c r="D829" t="s">
        <v>217</v>
      </c>
      <c r="F829" t="s">
        <v>337</v>
      </c>
    </row>
    <row r="830" spans="1:6">
      <c r="A830" t="s">
        <v>63</v>
      </c>
      <c r="B830" t="s">
        <v>158</v>
      </c>
      <c r="C830" t="s">
        <v>350</v>
      </c>
      <c r="D830" t="s">
        <v>653</v>
      </c>
      <c r="F830" t="s">
        <v>145</v>
      </c>
    </row>
    <row r="831" spans="1:6">
      <c r="A831" t="s">
        <v>63</v>
      </c>
      <c r="B831" t="s">
        <v>158</v>
      </c>
      <c r="C831" t="s">
        <v>408</v>
      </c>
      <c r="D831" t="s">
        <v>409</v>
      </c>
      <c r="F831" t="s">
        <v>145</v>
      </c>
    </row>
    <row r="832" spans="1:6">
      <c r="A832" t="s">
        <v>63</v>
      </c>
      <c r="B832" t="s">
        <v>158</v>
      </c>
      <c r="C832" t="s">
        <v>69</v>
      </c>
      <c r="D832" t="s">
        <v>654</v>
      </c>
      <c r="F832" t="s">
        <v>145</v>
      </c>
    </row>
    <row r="833" spans="1:6">
      <c r="A833" t="s">
        <v>63</v>
      </c>
      <c r="B833" t="s">
        <v>158</v>
      </c>
      <c r="C833" t="s">
        <v>589</v>
      </c>
      <c r="D833" t="s">
        <v>473</v>
      </c>
      <c r="F833" t="s">
        <v>145</v>
      </c>
    </row>
    <row r="834" spans="1:6">
      <c r="A834" t="s">
        <v>63</v>
      </c>
      <c r="B834" t="s">
        <v>158</v>
      </c>
      <c r="C834" t="s">
        <v>257</v>
      </c>
      <c r="D834" t="s">
        <v>160</v>
      </c>
      <c r="F834" t="s">
        <v>145</v>
      </c>
    </row>
    <row r="835" spans="1:6">
      <c r="A835" t="s">
        <v>55</v>
      </c>
      <c r="B835" t="s">
        <v>10</v>
      </c>
      <c r="C835" t="s">
        <v>59</v>
      </c>
      <c r="D835" t="s">
        <v>164</v>
      </c>
      <c r="E835" t="s">
        <v>769</v>
      </c>
      <c r="F835" t="s">
        <v>145</v>
      </c>
    </row>
    <row r="836" spans="1:6">
      <c r="A836" t="s">
        <v>55</v>
      </c>
      <c r="B836" t="s">
        <v>10</v>
      </c>
      <c r="C836" t="s">
        <v>57</v>
      </c>
      <c r="D836" t="s">
        <v>144</v>
      </c>
      <c r="E836" t="s">
        <v>769</v>
      </c>
      <c r="F836" t="s">
        <v>145</v>
      </c>
    </row>
    <row r="837" spans="1:6">
      <c r="A837" t="s">
        <v>55</v>
      </c>
      <c r="B837" t="s">
        <v>10</v>
      </c>
      <c r="C837" t="s">
        <v>56</v>
      </c>
      <c r="D837" t="s">
        <v>144</v>
      </c>
      <c r="E837" t="s">
        <v>769</v>
      </c>
      <c r="F837" t="s">
        <v>145</v>
      </c>
    </row>
    <row r="838" spans="1:6">
      <c r="A838" t="s">
        <v>55</v>
      </c>
      <c r="B838" t="s">
        <v>10</v>
      </c>
      <c r="C838" t="s">
        <v>60</v>
      </c>
      <c r="D838" t="s">
        <v>144</v>
      </c>
      <c r="E838" t="s">
        <v>769</v>
      </c>
      <c r="F838" t="s">
        <v>145</v>
      </c>
    </row>
    <row r="839" spans="1:6">
      <c r="A839" t="s">
        <v>55</v>
      </c>
      <c r="B839" t="s">
        <v>10</v>
      </c>
      <c r="C839" t="s">
        <v>58</v>
      </c>
      <c r="D839" t="s">
        <v>144</v>
      </c>
      <c r="E839" t="s">
        <v>769</v>
      </c>
      <c r="F839" t="s">
        <v>145</v>
      </c>
    </row>
    <row r="840" spans="1:6">
      <c r="A840" t="s">
        <v>55</v>
      </c>
      <c r="B840" t="s">
        <v>10</v>
      </c>
      <c r="C840" t="s">
        <v>61</v>
      </c>
      <c r="D840" t="s">
        <v>144</v>
      </c>
      <c r="E840" t="s">
        <v>769</v>
      </c>
      <c r="F840" t="s">
        <v>145</v>
      </c>
    </row>
    <row r="841" spans="1:6">
      <c r="A841" t="s">
        <v>55</v>
      </c>
      <c r="B841" t="s">
        <v>547</v>
      </c>
      <c r="C841" t="s">
        <v>716</v>
      </c>
      <c r="D841" t="s">
        <v>164</v>
      </c>
      <c r="E841" t="s">
        <v>770</v>
      </c>
      <c r="F841" t="s">
        <v>145</v>
      </c>
    </row>
    <row r="842" spans="1:6">
      <c r="A842" t="s">
        <v>55</v>
      </c>
      <c r="B842" t="s">
        <v>547</v>
      </c>
      <c r="C842" t="s">
        <v>771</v>
      </c>
      <c r="D842" t="s">
        <v>144</v>
      </c>
      <c r="E842" t="s">
        <v>770</v>
      </c>
      <c r="F842" t="s">
        <v>145</v>
      </c>
    </row>
    <row r="843" spans="1:6">
      <c r="A843" t="s">
        <v>55</v>
      </c>
      <c r="B843" t="s">
        <v>547</v>
      </c>
      <c r="C843" t="s">
        <v>772</v>
      </c>
      <c r="D843" t="s">
        <v>144</v>
      </c>
      <c r="E843" t="s">
        <v>770</v>
      </c>
      <c r="F843" t="s">
        <v>145</v>
      </c>
    </row>
    <row r="844" spans="1:6">
      <c r="A844" t="s">
        <v>55</v>
      </c>
      <c r="B844" t="s">
        <v>547</v>
      </c>
      <c r="C844" t="s">
        <v>773</v>
      </c>
      <c r="D844" t="s">
        <v>144</v>
      </c>
      <c r="E844" t="s">
        <v>770</v>
      </c>
      <c r="F844" t="s">
        <v>145</v>
      </c>
    </row>
    <row r="845" spans="1:6">
      <c r="A845" t="s">
        <v>55</v>
      </c>
      <c r="B845" t="s">
        <v>547</v>
      </c>
      <c r="C845" t="s">
        <v>774</v>
      </c>
      <c r="D845" t="s">
        <v>144</v>
      </c>
      <c r="E845" t="s">
        <v>770</v>
      </c>
      <c r="F845" t="s">
        <v>145</v>
      </c>
    </row>
    <row r="846" spans="1:6">
      <c r="A846" t="s">
        <v>55</v>
      </c>
      <c r="B846" t="s">
        <v>384</v>
      </c>
      <c r="C846" t="s">
        <v>742</v>
      </c>
      <c r="D846" t="s">
        <v>164</v>
      </c>
      <c r="F846" t="s">
        <v>145</v>
      </c>
    </row>
    <row r="847" spans="1:6">
      <c r="A847" t="s">
        <v>55</v>
      </c>
      <c r="B847" t="s">
        <v>384</v>
      </c>
      <c r="C847" t="s">
        <v>775</v>
      </c>
      <c r="D847" t="s">
        <v>144</v>
      </c>
      <c r="F847" t="s">
        <v>145</v>
      </c>
    </row>
    <row r="848" spans="1:6">
      <c r="A848" t="s">
        <v>55</v>
      </c>
      <c r="B848" t="s">
        <v>384</v>
      </c>
      <c r="C848" t="s">
        <v>776</v>
      </c>
      <c r="D848" t="s">
        <v>144</v>
      </c>
      <c r="F848" t="s">
        <v>145</v>
      </c>
    </row>
    <row r="849" spans="1:6">
      <c r="A849" t="s">
        <v>55</v>
      </c>
      <c r="B849" t="s">
        <v>384</v>
      </c>
      <c r="C849" t="s">
        <v>777</v>
      </c>
      <c r="D849" t="s">
        <v>144</v>
      </c>
      <c r="F849" t="s">
        <v>145</v>
      </c>
    </row>
    <row r="850" spans="1:6">
      <c r="A850" t="s">
        <v>55</v>
      </c>
      <c r="B850" t="s">
        <v>384</v>
      </c>
      <c r="C850" t="s">
        <v>778</v>
      </c>
      <c r="D850" t="s">
        <v>144</v>
      </c>
      <c r="F850" t="s">
        <v>145</v>
      </c>
    </row>
    <row r="851" spans="1:6">
      <c r="A851" t="s">
        <v>55</v>
      </c>
      <c r="B851" t="s">
        <v>679</v>
      </c>
      <c r="C851" t="s">
        <v>623</v>
      </c>
      <c r="D851" t="s">
        <v>164</v>
      </c>
      <c r="E851" t="s">
        <v>701</v>
      </c>
      <c r="F851" t="s">
        <v>145</v>
      </c>
    </row>
    <row r="852" spans="1:6">
      <c r="A852" t="s">
        <v>55</v>
      </c>
      <c r="B852" t="s">
        <v>679</v>
      </c>
      <c r="C852" t="s">
        <v>779</v>
      </c>
      <c r="D852" t="s">
        <v>144</v>
      </c>
      <c r="E852" t="s">
        <v>701</v>
      </c>
      <c r="F852" t="s">
        <v>145</v>
      </c>
    </row>
    <row r="853" spans="1:6">
      <c r="A853" t="s">
        <v>55</v>
      </c>
      <c r="B853" t="s">
        <v>679</v>
      </c>
      <c r="C853" t="s">
        <v>780</v>
      </c>
      <c r="D853" t="s">
        <v>144</v>
      </c>
      <c r="E853" t="s">
        <v>701</v>
      </c>
      <c r="F853" t="s">
        <v>145</v>
      </c>
    </row>
    <row r="854" spans="1:6">
      <c r="A854" t="s">
        <v>55</v>
      </c>
      <c r="B854" t="s">
        <v>679</v>
      </c>
      <c r="C854" t="s">
        <v>781</v>
      </c>
      <c r="D854" t="s">
        <v>144</v>
      </c>
      <c r="E854" t="s">
        <v>701</v>
      </c>
      <c r="F854" t="s">
        <v>145</v>
      </c>
    </row>
    <row r="855" spans="1:6">
      <c r="A855" t="s">
        <v>55</v>
      </c>
      <c r="B855" t="s">
        <v>535</v>
      </c>
      <c r="C855" t="s">
        <v>666</v>
      </c>
      <c r="D855" t="s">
        <v>164</v>
      </c>
      <c r="E855" t="s">
        <v>782</v>
      </c>
      <c r="F855" t="s">
        <v>145</v>
      </c>
    </row>
    <row r="856" spans="1:6">
      <c r="A856" t="s">
        <v>55</v>
      </c>
      <c r="B856" t="s">
        <v>535</v>
      </c>
      <c r="C856" t="s">
        <v>783</v>
      </c>
      <c r="D856" t="s">
        <v>144</v>
      </c>
      <c r="E856" t="s">
        <v>782</v>
      </c>
      <c r="F856" t="s">
        <v>145</v>
      </c>
    </row>
    <row r="857" spans="1:6">
      <c r="A857" t="s">
        <v>55</v>
      </c>
      <c r="B857" t="s">
        <v>535</v>
      </c>
      <c r="C857" t="s">
        <v>784</v>
      </c>
      <c r="D857" t="s">
        <v>144</v>
      </c>
      <c r="E857" t="s">
        <v>782</v>
      </c>
      <c r="F857" t="s">
        <v>145</v>
      </c>
    </row>
    <row r="858" spans="1:6">
      <c r="A858" t="s">
        <v>55</v>
      </c>
      <c r="B858" t="s">
        <v>535</v>
      </c>
      <c r="C858" t="s">
        <v>785</v>
      </c>
      <c r="D858" t="s">
        <v>144</v>
      </c>
      <c r="E858" t="s">
        <v>782</v>
      </c>
      <c r="F858" t="s">
        <v>145</v>
      </c>
    </row>
    <row r="859" spans="1:6">
      <c r="A859" t="s">
        <v>55</v>
      </c>
      <c r="B859" t="s">
        <v>535</v>
      </c>
      <c r="C859" t="s">
        <v>786</v>
      </c>
      <c r="D859" t="s">
        <v>144</v>
      </c>
      <c r="E859" t="s">
        <v>782</v>
      </c>
      <c r="F859" t="s">
        <v>145</v>
      </c>
    </row>
    <row r="860" spans="1:6">
      <c r="A860" t="s">
        <v>55</v>
      </c>
      <c r="B860" t="s">
        <v>542</v>
      </c>
      <c r="C860" t="s">
        <v>752</v>
      </c>
      <c r="D860" t="s">
        <v>164</v>
      </c>
      <c r="E860" t="s">
        <v>782</v>
      </c>
      <c r="F860" t="s">
        <v>145</v>
      </c>
    </row>
    <row r="861" spans="1:6">
      <c r="A861" t="s">
        <v>55</v>
      </c>
      <c r="B861" t="s">
        <v>542</v>
      </c>
      <c r="C861" t="s">
        <v>787</v>
      </c>
      <c r="D861" t="s">
        <v>144</v>
      </c>
      <c r="E861" t="s">
        <v>782</v>
      </c>
      <c r="F861" t="s">
        <v>145</v>
      </c>
    </row>
    <row r="862" spans="1:6">
      <c r="A862" t="s">
        <v>55</v>
      </c>
      <c r="B862" t="s">
        <v>542</v>
      </c>
      <c r="C862" t="s">
        <v>788</v>
      </c>
      <c r="D862" t="s">
        <v>144</v>
      </c>
      <c r="E862" t="s">
        <v>782</v>
      </c>
      <c r="F862" t="s">
        <v>145</v>
      </c>
    </row>
    <row r="863" spans="1:6">
      <c r="A863" t="s">
        <v>55</v>
      </c>
      <c r="B863" t="s">
        <v>542</v>
      </c>
      <c r="C863" t="s">
        <v>789</v>
      </c>
      <c r="D863" t="s">
        <v>144</v>
      </c>
      <c r="E863" t="s">
        <v>782</v>
      </c>
      <c r="F863" t="s">
        <v>145</v>
      </c>
    </row>
    <row r="864" spans="1:6">
      <c r="A864" t="s">
        <v>55</v>
      </c>
      <c r="B864" t="s">
        <v>542</v>
      </c>
      <c r="C864" t="s">
        <v>790</v>
      </c>
      <c r="D864" t="s">
        <v>144</v>
      </c>
      <c r="E864" t="s">
        <v>782</v>
      </c>
      <c r="F864" t="s">
        <v>145</v>
      </c>
    </row>
    <row r="865" spans="1:6">
      <c r="A865" t="s">
        <v>55</v>
      </c>
      <c r="B865" t="s">
        <v>647</v>
      </c>
      <c r="C865" t="s">
        <v>760</v>
      </c>
      <c r="D865" t="s">
        <v>164</v>
      </c>
      <c r="E865" t="s">
        <v>791</v>
      </c>
      <c r="F865" t="s">
        <v>647</v>
      </c>
    </row>
    <row r="866" spans="1:6">
      <c r="A866" t="s">
        <v>55</v>
      </c>
      <c r="B866" t="s">
        <v>647</v>
      </c>
      <c r="C866" t="s">
        <v>792</v>
      </c>
      <c r="D866" t="s">
        <v>144</v>
      </c>
      <c r="E866" t="s">
        <v>791</v>
      </c>
      <c r="F866" t="s">
        <v>647</v>
      </c>
    </row>
    <row r="867" spans="1:6">
      <c r="A867" t="s">
        <v>55</v>
      </c>
      <c r="B867" t="s">
        <v>647</v>
      </c>
      <c r="C867" t="s">
        <v>793</v>
      </c>
      <c r="D867" t="s">
        <v>144</v>
      </c>
      <c r="E867" t="s">
        <v>791</v>
      </c>
      <c r="F867" t="s">
        <v>647</v>
      </c>
    </row>
    <row r="868" spans="1:6">
      <c r="A868" t="s">
        <v>55</v>
      </c>
      <c r="B868" t="s">
        <v>647</v>
      </c>
      <c r="C868" t="s">
        <v>794</v>
      </c>
      <c r="D868" t="s">
        <v>144</v>
      </c>
      <c r="E868" t="s">
        <v>791</v>
      </c>
      <c r="F868" t="s">
        <v>647</v>
      </c>
    </row>
    <row r="869" spans="1:6">
      <c r="A869" t="s">
        <v>55</v>
      </c>
      <c r="B869" t="s">
        <v>337</v>
      </c>
      <c r="C869" t="s">
        <v>795</v>
      </c>
      <c r="D869" t="s">
        <v>164</v>
      </c>
      <c r="E869" t="s">
        <v>796</v>
      </c>
      <c r="F869" t="s">
        <v>337</v>
      </c>
    </row>
    <row r="870" spans="1:6">
      <c r="A870" t="s">
        <v>55</v>
      </c>
      <c r="B870" t="s">
        <v>337</v>
      </c>
      <c r="C870" t="s">
        <v>797</v>
      </c>
      <c r="D870" t="s">
        <v>144</v>
      </c>
      <c r="E870" t="s">
        <v>796</v>
      </c>
      <c r="F870" t="s">
        <v>337</v>
      </c>
    </row>
    <row r="871" spans="1:6">
      <c r="A871" t="s">
        <v>55</v>
      </c>
      <c r="B871" t="s">
        <v>337</v>
      </c>
      <c r="C871" t="s">
        <v>798</v>
      </c>
      <c r="D871" t="s">
        <v>144</v>
      </c>
      <c r="E871" t="s">
        <v>796</v>
      </c>
      <c r="F871" t="s">
        <v>337</v>
      </c>
    </row>
    <row r="872" spans="1:6">
      <c r="A872" t="s">
        <v>55</v>
      </c>
      <c r="B872" t="s">
        <v>337</v>
      </c>
      <c r="C872" t="s">
        <v>799</v>
      </c>
      <c r="D872" t="s">
        <v>144</v>
      </c>
      <c r="E872" t="s">
        <v>796</v>
      </c>
      <c r="F872" t="s">
        <v>337</v>
      </c>
    </row>
    <row r="873" spans="1:6">
      <c r="A873" t="s">
        <v>55</v>
      </c>
      <c r="B873" t="s">
        <v>337</v>
      </c>
      <c r="C873" t="s">
        <v>800</v>
      </c>
      <c r="D873" t="s">
        <v>144</v>
      </c>
      <c r="E873" t="s">
        <v>796</v>
      </c>
      <c r="F873" t="s">
        <v>337</v>
      </c>
    </row>
    <row r="874" spans="1:6">
      <c r="A874" t="s">
        <v>55</v>
      </c>
      <c r="B874" t="s">
        <v>158</v>
      </c>
      <c r="C874" t="s">
        <v>563</v>
      </c>
      <c r="D874" t="s">
        <v>217</v>
      </c>
      <c r="F874" t="s">
        <v>145</v>
      </c>
    </row>
    <row r="875" spans="1:6">
      <c r="A875" t="s">
        <v>55</v>
      </c>
      <c r="B875" t="s">
        <v>158</v>
      </c>
      <c r="C875" t="s">
        <v>623</v>
      </c>
      <c r="D875" t="s">
        <v>217</v>
      </c>
      <c r="F875" t="s">
        <v>145</v>
      </c>
    </row>
    <row r="876" spans="1:6">
      <c r="A876" t="s">
        <v>55</v>
      </c>
      <c r="B876" t="s">
        <v>158</v>
      </c>
      <c r="C876" t="s">
        <v>734</v>
      </c>
      <c r="D876" t="s">
        <v>473</v>
      </c>
      <c r="F876" t="s">
        <v>145</v>
      </c>
    </row>
    <row r="877" spans="1:6">
      <c r="A877" t="s">
        <v>55</v>
      </c>
      <c r="B877" t="s">
        <v>158</v>
      </c>
      <c r="C877" t="s">
        <v>350</v>
      </c>
      <c r="D877" t="s">
        <v>653</v>
      </c>
      <c r="F877" t="s">
        <v>145</v>
      </c>
    </row>
    <row r="878" spans="1:6">
      <c r="A878" t="s">
        <v>55</v>
      </c>
      <c r="B878" t="s">
        <v>158</v>
      </c>
      <c r="C878" t="s">
        <v>408</v>
      </c>
      <c r="D878" t="s">
        <v>409</v>
      </c>
      <c r="F878" t="s">
        <v>145</v>
      </c>
    </row>
    <row r="879" spans="1:6">
      <c r="A879" t="s">
        <v>55</v>
      </c>
      <c r="B879" t="s">
        <v>158</v>
      </c>
      <c r="C879" t="s">
        <v>69</v>
      </c>
      <c r="D879" t="s">
        <v>654</v>
      </c>
      <c r="F879" t="s">
        <v>145</v>
      </c>
    </row>
    <row r="880" spans="1:6">
      <c r="A880" t="s">
        <v>55</v>
      </c>
      <c r="B880" t="s">
        <v>158</v>
      </c>
      <c r="C880" t="s">
        <v>257</v>
      </c>
      <c r="D880" t="s">
        <v>160</v>
      </c>
      <c r="F880" t="s">
        <v>145</v>
      </c>
    </row>
    <row r="881" spans="1:6">
      <c r="A881" t="s">
        <v>76</v>
      </c>
      <c r="B881" t="s">
        <v>10</v>
      </c>
      <c r="C881" t="s">
        <v>57</v>
      </c>
      <c r="D881" t="s">
        <v>164</v>
      </c>
      <c r="F881" t="s">
        <v>145</v>
      </c>
    </row>
    <row r="882" spans="1:6">
      <c r="A882" t="s">
        <v>76</v>
      </c>
      <c r="B882" t="s">
        <v>10</v>
      </c>
      <c r="C882" t="s">
        <v>78</v>
      </c>
      <c r="D882" t="s">
        <v>144</v>
      </c>
      <c r="F882" t="s">
        <v>145</v>
      </c>
    </row>
    <row r="883" spans="1:6">
      <c r="A883" t="s">
        <v>76</v>
      </c>
      <c r="B883" t="s">
        <v>10</v>
      </c>
      <c r="C883" t="s">
        <v>79</v>
      </c>
      <c r="D883" t="s">
        <v>144</v>
      </c>
      <c r="F883" t="s">
        <v>145</v>
      </c>
    </row>
    <row r="884" spans="1:6">
      <c r="A884" t="s">
        <v>76</v>
      </c>
      <c r="B884" t="s">
        <v>10</v>
      </c>
      <c r="C884" t="s">
        <v>77</v>
      </c>
      <c r="D884" t="s">
        <v>144</v>
      </c>
      <c r="F884" t="s">
        <v>145</v>
      </c>
    </row>
    <row r="885" spans="1:6">
      <c r="A885" t="s">
        <v>76</v>
      </c>
      <c r="B885" t="s">
        <v>10</v>
      </c>
      <c r="C885" t="s">
        <v>72</v>
      </c>
      <c r="D885" t="s">
        <v>144</v>
      </c>
      <c r="F885" t="s">
        <v>145</v>
      </c>
    </row>
    <row r="886" spans="1:6">
      <c r="A886" t="s">
        <v>76</v>
      </c>
      <c r="B886" t="s">
        <v>384</v>
      </c>
      <c r="C886" t="s">
        <v>775</v>
      </c>
      <c r="D886" t="s">
        <v>164</v>
      </c>
      <c r="F886" t="s">
        <v>145</v>
      </c>
    </row>
    <row r="887" spans="1:6">
      <c r="A887" t="s">
        <v>76</v>
      </c>
      <c r="B887" t="s">
        <v>384</v>
      </c>
      <c r="C887" t="s">
        <v>801</v>
      </c>
      <c r="D887" t="s">
        <v>144</v>
      </c>
      <c r="F887" t="s">
        <v>145</v>
      </c>
    </row>
    <row r="888" spans="1:6">
      <c r="A888" t="s">
        <v>76</v>
      </c>
      <c r="B888" t="s">
        <v>384</v>
      </c>
      <c r="C888" t="s">
        <v>802</v>
      </c>
      <c r="D888" t="s">
        <v>144</v>
      </c>
      <c r="F888" t="s">
        <v>145</v>
      </c>
    </row>
    <row r="889" spans="1:6">
      <c r="A889" t="s">
        <v>76</v>
      </c>
      <c r="B889" t="s">
        <v>384</v>
      </c>
      <c r="C889" t="s">
        <v>803</v>
      </c>
      <c r="D889" t="s">
        <v>144</v>
      </c>
      <c r="F889" t="s">
        <v>145</v>
      </c>
    </row>
    <row r="890" spans="1:6">
      <c r="A890" t="s">
        <v>76</v>
      </c>
      <c r="B890" t="s">
        <v>384</v>
      </c>
      <c r="C890" t="s">
        <v>804</v>
      </c>
      <c r="D890" t="s">
        <v>144</v>
      </c>
      <c r="F890" t="s">
        <v>145</v>
      </c>
    </row>
    <row r="891" spans="1:6">
      <c r="A891" t="s">
        <v>76</v>
      </c>
      <c r="B891" t="s">
        <v>679</v>
      </c>
      <c r="C891" t="s">
        <v>781</v>
      </c>
      <c r="D891" t="s">
        <v>164</v>
      </c>
      <c r="F891" t="s">
        <v>145</v>
      </c>
    </row>
    <row r="892" spans="1:6">
      <c r="A892" t="s">
        <v>76</v>
      </c>
      <c r="B892" t="s">
        <v>679</v>
      </c>
      <c r="C892" t="s">
        <v>805</v>
      </c>
      <c r="D892" t="s">
        <v>144</v>
      </c>
      <c r="F892" t="s">
        <v>145</v>
      </c>
    </row>
    <row r="893" spans="1:6">
      <c r="A893" t="s">
        <v>76</v>
      </c>
      <c r="B893" t="s">
        <v>679</v>
      </c>
      <c r="C893" t="s">
        <v>806</v>
      </c>
      <c r="D893" t="s">
        <v>144</v>
      </c>
      <c r="F893" t="s">
        <v>145</v>
      </c>
    </row>
    <row r="894" spans="1:6">
      <c r="A894" t="s">
        <v>76</v>
      </c>
      <c r="B894" t="s">
        <v>679</v>
      </c>
      <c r="C894" t="s">
        <v>807</v>
      </c>
      <c r="D894" t="s">
        <v>144</v>
      </c>
      <c r="F894" t="s">
        <v>145</v>
      </c>
    </row>
    <row r="895" spans="1:6">
      <c r="A895" t="s">
        <v>76</v>
      </c>
      <c r="B895" t="s">
        <v>535</v>
      </c>
      <c r="C895" t="s">
        <v>56</v>
      </c>
      <c r="D895" t="s">
        <v>164</v>
      </c>
      <c r="F895" t="s">
        <v>145</v>
      </c>
    </row>
    <row r="896" spans="1:6">
      <c r="A896" t="s">
        <v>76</v>
      </c>
      <c r="B896" t="s">
        <v>535</v>
      </c>
      <c r="C896" t="s">
        <v>808</v>
      </c>
      <c r="D896" t="s">
        <v>144</v>
      </c>
      <c r="F896" t="s">
        <v>145</v>
      </c>
    </row>
    <row r="897" spans="1:6">
      <c r="A897" t="s">
        <v>76</v>
      </c>
      <c r="B897" t="s">
        <v>535</v>
      </c>
      <c r="C897" t="s">
        <v>809</v>
      </c>
      <c r="D897" t="s">
        <v>144</v>
      </c>
      <c r="F897" t="s">
        <v>145</v>
      </c>
    </row>
    <row r="898" spans="1:6">
      <c r="A898" t="s">
        <v>76</v>
      </c>
      <c r="B898" t="s">
        <v>535</v>
      </c>
      <c r="C898" t="s">
        <v>810</v>
      </c>
      <c r="D898" t="s">
        <v>144</v>
      </c>
      <c r="F898" t="s">
        <v>145</v>
      </c>
    </row>
    <row r="899" spans="1:6">
      <c r="A899" t="s">
        <v>76</v>
      </c>
      <c r="B899" t="s">
        <v>535</v>
      </c>
      <c r="C899" t="s">
        <v>811</v>
      </c>
      <c r="D899" t="s">
        <v>144</v>
      </c>
      <c r="F899" t="s">
        <v>145</v>
      </c>
    </row>
    <row r="900" spans="1:6">
      <c r="A900" t="s">
        <v>76</v>
      </c>
      <c r="B900" t="s">
        <v>542</v>
      </c>
      <c r="C900" t="s">
        <v>790</v>
      </c>
      <c r="D900" t="s">
        <v>164</v>
      </c>
      <c r="F900" t="s">
        <v>145</v>
      </c>
    </row>
    <row r="901" spans="1:6">
      <c r="A901" t="s">
        <v>76</v>
      </c>
      <c r="B901" t="s">
        <v>542</v>
      </c>
      <c r="C901" t="s">
        <v>812</v>
      </c>
      <c r="D901" t="s">
        <v>144</v>
      </c>
      <c r="F901" t="s">
        <v>145</v>
      </c>
    </row>
    <row r="902" spans="1:6">
      <c r="A902" t="s">
        <v>76</v>
      </c>
      <c r="B902" t="s">
        <v>542</v>
      </c>
      <c r="C902" t="s">
        <v>813</v>
      </c>
      <c r="D902" t="s">
        <v>144</v>
      </c>
      <c r="F902" t="s">
        <v>145</v>
      </c>
    </row>
    <row r="903" spans="1:6">
      <c r="A903" t="s">
        <v>76</v>
      </c>
      <c r="B903" t="s">
        <v>542</v>
      </c>
      <c r="C903" t="s">
        <v>814</v>
      </c>
      <c r="D903" t="s">
        <v>144</v>
      </c>
      <c r="F903" t="s">
        <v>145</v>
      </c>
    </row>
    <row r="904" spans="1:6">
      <c r="A904" t="s">
        <v>76</v>
      </c>
      <c r="B904" t="s">
        <v>542</v>
      </c>
      <c r="C904" t="s">
        <v>789</v>
      </c>
      <c r="D904" t="s">
        <v>144</v>
      </c>
      <c r="F904" t="s">
        <v>145</v>
      </c>
    </row>
    <row r="905" spans="1:6">
      <c r="A905" t="s">
        <v>76</v>
      </c>
      <c r="B905" t="s">
        <v>561</v>
      </c>
      <c r="C905" t="s">
        <v>815</v>
      </c>
      <c r="D905" t="s">
        <v>164</v>
      </c>
      <c r="F905" t="s">
        <v>145</v>
      </c>
    </row>
    <row r="906" spans="1:6">
      <c r="A906" t="s">
        <v>76</v>
      </c>
      <c r="B906" t="s">
        <v>561</v>
      </c>
      <c r="C906" t="s">
        <v>816</v>
      </c>
      <c r="D906" t="s">
        <v>144</v>
      </c>
      <c r="F906" t="s">
        <v>145</v>
      </c>
    </row>
    <row r="907" spans="1:6">
      <c r="A907" t="s">
        <v>76</v>
      </c>
      <c r="B907" t="s">
        <v>561</v>
      </c>
      <c r="C907" t="s">
        <v>817</v>
      </c>
      <c r="D907" t="s">
        <v>144</v>
      </c>
      <c r="F907" t="s">
        <v>145</v>
      </c>
    </row>
    <row r="908" spans="1:6">
      <c r="A908" t="s">
        <v>76</v>
      </c>
      <c r="B908" t="s">
        <v>561</v>
      </c>
      <c r="C908" t="s">
        <v>818</v>
      </c>
      <c r="D908" t="s">
        <v>144</v>
      </c>
      <c r="F908" t="s">
        <v>145</v>
      </c>
    </row>
    <row r="909" spans="1:6">
      <c r="A909" t="s">
        <v>76</v>
      </c>
      <c r="B909" t="s">
        <v>561</v>
      </c>
      <c r="C909" t="s">
        <v>750</v>
      </c>
      <c r="D909" t="s">
        <v>144</v>
      </c>
      <c r="F909" t="s">
        <v>145</v>
      </c>
    </row>
    <row r="910" spans="1:6">
      <c r="A910" t="s">
        <v>76</v>
      </c>
      <c r="B910" t="s">
        <v>158</v>
      </c>
      <c r="C910" t="s">
        <v>563</v>
      </c>
      <c r="D910" t="s">
        <v>217</v>
      </c>
      <c r="F910" t="s">
        <v>145</v>
      </c>
    </row>
    <row r="911" spans="1:6">
      <c r="A911" t="s">
        <v>76</v>
      </c>
      <c r="B911" t="s">
        <v>158</v>
      </c>
      <c r="C911" t="s">
        <v>742</v>
      </c>
      <c r="D911" t="s">
        <v>217</v>
      </c>
      <c r="F911" t="s">
        <v>145</v>
      </c>
    </row>
    <row r="912" spans="1:6">
      <c r="A912" t="s">
        <v>76</v>
      </c>
      <c r="B912" t="s">
        <v>158</v>
      </c>
      <c r="C912" t="s">
        <v>623</v>
      </c>
      <c r="D912" t="s">
        <v>217</v>
      </c>
      <c r="F912" t="s">
        <v>145</v>
      </c>
    </row>
    <row r="913" spans="1:6">
      <c r="A913" t="s">
        <v>76</v>
      </c>
      <c r="B913" t="s">
        <v>158</v>
      </c>
      <c r="C913" t="s">
        <v>257</v>
      </c>
      <c r="D913" t="s">
        <v>160</v>
      </c>
      <c r="F913" t="s">
        <v>145</v>
      </c>
    </row>
    <row r="914" spans="1:6">
      <c r="A914" t="s">
        <v>76</v>
      </c>
      <c r="B914" t="s">
        <v>158</v>
      </c>
      <c r="C914" t="s">
        <v>408</v>
      </c>
      <c r="D914" t="s">
        <v>409</v>
      </c>
      <c r="F914" t="s">
        <v>145</v>
      </c>
    </row>
    <row r="915" spans="1:6">
      <c r="A915" t="s">
        <v>68</v>
      </c>
      <c r="B915" t="s">
        <v>10</v>
      </c>
      <c r="C915" t="s">
        <v>69</v>
      </c>
      <c r="D915" t="s">
        <v>217</v>
      </c>
      <c r="F915" t="s">
        <v>145</v>
      </c>
    </row>
    <row r="916" spans="1:6">
      <c r="A916" t="s">
        <v>68</v>
      </c>
      <c r="B916" t="s">
        <v>10</v>
      </c>
      <c r="C916" t="s">
        <v>72</v>
      </c>
      <c r="D916" t="s">
        <v>164</v>
      </c>
      <c r="F916" t="s">
        <v>145</v>
      </c>
    </row>
    <row r="917" spans="1:6">
      <c r="A917" t="s">
        <v>68</v>
      </c>
      <c r="B917" t="s">
        <v>10</v>
      </c>
      <c r="C917" t="s">
        <v>73</v>
      </c>
      <c r="D917" t="s">
        <v>144</v>
      </c>
      <c r="F917" t="s">
        <v>145</v>
      </c>
    </row>
    <row r="918" spans="1:6">
      <c r="A918" t="s">
        <v>68</v>
      </c>
      <c r="B918" t="s">
        <v>10</v>
      </c>
      <c r="C918" t="s">
        <v>70</v>
      </c>
      <c r="D918" t="s">
        <v>144</v>
      </c>
      <c r="F918" t="s">
        <v>145</v>
      </c>
    </row>
    <row r="919" spans="1:6">
      <c r="A919" t="s">
        <v>68</v>
      </c>
      <c r="B919" t="s">
        <v>10</v>
      </c>
      <c r="C919" t="s">
        <v>74</v>
      </c>
      <c r="D919" t="s">
        <v>144</v>
      </c>
      <c r="F919" t="s">
        <v>145</v>
      </c>
    </row>
    <row r="920" spans="1:6">
      <c r="A920" t="s">
        <v>68</v>
      </c>
      <c r="B920" t="s">
        <v>10</v>
      </c>
      <c r="C920" t="s">
        <v>71</v>
      </c>
      <c r="D920" t="s">
        <v>144</v>
      </c>
      <c r="F920" t="s">
        <v>145</v>
      </c>
    </row>
    <row r="921" spans="1:6">
      <c r="A921" t="s">
        <v>68</v>
      </c>
      <c r="B921" t="s">
        <v>384</v>
      </c>
      <c r="C921" t="s">
        <v>819</v>
      </c>
      <c r="D921" t="s">
        <v>144</v>
      </c>
      <c r="F921" t="s">
        <v>145</v>
      </c>
    </row>
    <row r="922" spans="1:6">
      <c r="A922" t="s">
        <v>68</v>
      </c>
      <c r="B922" t="s">
        <v>384</v>
      </c>
      <c r="C922" t="s">
        <v>820</v>
      </c>
      <c r="D922" t="s">
        <v>144</v>
      </c>
      <c r="F922" t="s">
        <v>145</v>
      </c>
    </row>
    <row r="923" spans="1:6">
      <c r="A923" t="s">
        <v>68</v>
      </c>
      <c r="B923" t="s">
        <v>384</v>
      </c>
      <c r="C923" t="s">
        <v>821</v>
      </c>
      <c r="D923" t="s">
        <v>144</v>
      </c>
      <c r="F923" t="s">
        <v>145</v>
      </c>
    </row>
    <row r="924" spans="1:6">
      <c r="A924" t="s">
        <v>68</v>
      </c>
      <c r="B924" t="s">
        <v>679</v>
      </c>
      <c r="C924" t="s">
        <v>623</v>
      </c>
      <c r="D924" t="s">
        <v>217</v>
      </c>
      <c r="F924" t="s">
        <v>145</v>
      </c>
    </row>
    <row r="925" spans="1:6">
      <c r="A925" t="s">
        <v>68</v>
      </c>
      <c r="B925" t="s">
        <v>679</v>
      </c>
      <c r="C925" t="s">
        <v>781</v>
      </c>
      <c r="D925" t="s">
        <v>164</v>
      </c>
      <c r="F925" t="s">
        <v>145</v>
      </c>
    </row>
    <row r="926" spans="1:6">
      <c r="A926" t="s">
        <v>68</v>
      </c>
      <c r="B926" t="s">
        <v>679</v>
      </c>
      <c r="C926" t="s">
        <v>805</v>
      </c>
      <c r="D926" t="s">
        <v>144</v>
      </c>
      <c r="F926" t="s">
        <v>145</v>
      </c>
    </row>
    <row r="927" spans="1:6">
      <c r="A927" t="s">
        <v>68</v>
      </c>
      <c r="B927" t="s">
        <v>679</v>
      </c>
      <c r="C927" t="s">
        <v>822</v>
      </c>
      <c r="D927" t="s">
        <v>144</v>
      </c>
      <c r="F927" t="s">
        <v>145</v>
      </c>
    </row>
    <row r="928" spans="1:6">
      <c r="A928" t="s">
        <v>68</v>
      </c>
      <c r="B928" t="s">
        <v>679</v>
      </c>
      <c r="C928" t="s">
        <v>806</v>
      </c>
      <c r="D928" t="s">
        <v>144</v>
      </c>
      <c r="F928" t="s">
        <v>145</v>
      </c>
    </row>
    <row r="929" spans="1:6">
      <c r="A929" t="s">
        <v>68</v>
      </c>
      <c r="B929" t="s">
        <v>542</v>
      </c>
      <c r="C929" t="s">
        <v>790</v>
      </c>
      <c r="D929" t="s">
        <v>217</v>
      </c>
      <c r="F929" t="s">
        <v>145</v>
      </c>
    </row>
    <row r="930" spans="1:6">
      <c r="A930" t="s">
        <v>68</v>
      </c>
      <c r="B930" t="s">
        <v>542</v>
      </c>
      <c r="C930" t="s">
        <v>812</v>
      </c>
      <c r="D930" t="s">
        <v>164</v>
      </c>
      <c r="F930" t="s">
        <v>145</v>
      </c>
    </row>
    <row r="931" spans="1:6">
      <c r="A931" t="s">
        <v>68</v>
      </c>
      <c r="B931" t="s">
        <v>542</v>
      </c>
      <c r="C931" t="s">
        <v>823</v>
      </c>
      <c r="D931" t="s">
        <v>144</v>
      </c>
      <c r="F931" t="s">
        <v>145</v>
      </c>
    </row>
    <row r="932" spans="1:6">
      <c r="A932" t="s">
        <v>68</v>
      </c>
      <c r="B932" t="s">
        <v>542</v>
      </c>
      <c r="C932" t="s">
        <v>824</v>
      </c>
      <c r="D932" t="s">
        <v>144</v>
      </c>
      <c r="F932" t="s">
        <v>145</v>
      </c>
    </row>
    <row r="933" spans="1:6">
      <c r="A933" t="s">
        <v>68</v>
      </c>
      <c r="B933" t="s">
        <v>542</v>
      </c>
      <c r="C933" t="s">
        <v>825</v>
      </c>
      <c r="D933" t="s">
        <v>144</v>
      </c>
      <c r="F933" t="s">
        <v>145</v>
      </c>
    </row>
    <row r="934" spans="1:6">
      <c r="A934" t="s">
        <v>68</v>
      </c>
      <c r="B934" t="s">
        <v>542</v>
      </c>
      <c r="C934" t="s">
        <v>826</v>
      </c>
      <c r="D934" t="s">
        <v>144</v>
      </c>
      <c r="F934" t="s">
        <v>145</v>
      </c>
    </row>
    <row r="935" spans="1:6">
      <c r="A935" t="s">
        <v>68</v>
      </c>
      <c r="B935" t="s">
        <v>535</v>
      </c>
      <c r="C935" t="s">
        <v>69</v>
      </c>
      <c r="D935" t="s">
        <v>217</v>
      </c>
      <c r="F935" t="s">
        <v>145</v>
      </c>
    </row>
    <row r="936" spans="1:6">
      <c r="A936" t="s">
        <v>68</v>
      </c>
      <c r="B936" t="s">
        <v>535</v>
      </c>
      <c r="C936" t="s">
        <v>809</v>
      </c>
      <c r="D936" t="s">
        <v>164</v>
      </c>
      <c r="F936" t="s">
        <v>145</v>
      </c>
    </row>
    <row r="937" spans="1:6">
      <c r="A937" t="s">
        <v>68</v>
      </c>
      <c r="B937" t="s">
        <v>535</v>
      </c>
      <c r="C937" t="s">
        <v>827</v>
      </c>
      <c r="D937" t="s">
        <v>144</v>
      </c>
      <c r="F937" t="s">
        <v>145</v>
      </c>
    </row>
    <row r="938" spans="1:6">
      <c r="A938" t="s">
        <v>68</v>
      </c>
      <c r="B938" t="s">
        <v>535</v>
      </c>
      <c r="C938" t="s">
        <v>828</v>
      </c>
      <c r="D938" t="s">
        <v>144</v>
      </c>
      <c r="F938" t="s">
        <v>145</v>
      </c>
    </row>
    <row r="939" spans="1:6">
      <c r="A939" t="s">
        <v>68</v>
      </c>
      <c r="B939" t="s">
        <v>535</v>
      </c>
      <c r="C939" t="s">
        <v>829</v>
      </c>
      <c r="D939" t="s">
        <v>144</v>
      </c>
      <c r="F939" t="s">
        <v>145</v>
      </c>
    </row>
    <row r="940" spans="1:6">
      <c r="A940" t="s">
        <v>68</v>
      </c>
      <c r="B940" t="s">
        <v>535</v>
      </c>
      <c r="C940" t="s">
        <v>830</v>
      </c>
      <c r="D940" t="s">
        <v>144</v>
      </c>
      <c r="F940" t="s">
        <v>145</v>
      </c>
    </row>
    <row r="941" spans="1:6">
      <c r="A941" t="s">
        <v>68</v>
      </c>
      <c r="B941" t="s">
        <v>561</v>
      </c>
      <c r="C941" t="s">
        <v>623</v>
      </c>
      <c r="D941" t="s">
        <v>217</v>
      </c>
      <c r="F941" t="s">
        <v>145</v>
      </c>
    </row>
    <row r="942" spans="1:6">
      <c r="A942" t="s">
        <v>68</v>
      </c>
      <c r="B942" t="s">
        <v>561</v>
      </c>
      <c r="C942" t="s">
        <v>817</v>
      </c>
      <c r="D942" t="s">
        <v>164</v>
      </c>
      <c r="F942" t="s">
        <v>145</v>
      </c>
    </row>
    <row r="943" spans="1:6">
      <c r="A943" t="s">
        <v>68</v>
      </c>
      <c r="B943" t="s">
        <v>561</v>
      </c>
      <c r="C943" t="s">
        <v>831</v>
      </c>
      <c r="D943" t="s">
        <v>144</v>
      </c>
      <c r="F943" t="s">
        <v>145</v>
      </c>
    </row>
    <row r="944" spans="1:6">
      <c r="A944" t="s">
        <v>68</v>
      </c>
      <c r="B944" t="s">
        <v>561</v>
      </c>
      <c r="C944" t="s">
        <v>832</v>
      </c>
      <c r="D944" t="s">
        <v>144</v>
      </c>
      <c r="F944" t="s">
        <v>145</v>
      </c>
    </row>
    <row r="945" spans="1:6">
      <c r="A945" t="s">
        <v>68</v>
      </c>
      <c r="B945" t="s">
        <v>561</v>
      </c>
      <c r="C945" t="s">
        <v>833</v>
      </c>
      <c r="D945" t="s">
        <v>144</v>
      </c>
      <c r="F945" t="s">
        <v>145</v>
      </c>
    </row>
    <row r="946" spans="1:6">
      <c r="A946" t="s">
        <v>68</v>
      </c>
      <c r="B946" t="s">
        <v>561</v>
      </c>
      <c r="C946" t="s">
        <v>834</v>
      </c>
      <c r="D946" t="s">
        <v>144</v>
      </c>
      <c r="F946" t="s">
        <v>145</v>
      </c>
    </row>
    <row r="947" spans="1:6">
      <c r="A947" t="s">
        <v>68</v>
      </c>
      <c r="B947" t="s">
        <v>158</v>
      </c>
      <c r="C947" t="s">
        <v>69</v>
      </c>
      <c r="D947" t="s">
        <v>654</v>
      </c>
      <c r="F947" t="s">
        <v>145</v>
      </c>
    </row>
    <row r="948" spans="1:6">
      <c r="A948" t="s">
        <v>68</v>
      </c>
      <c r="B948" t="s">
        <v>158</v>
      </c>
      <c r="C948" t="s">
        <v>623</v>
      </c>
      <c r="D948" t="s">
        <v>217</v>
      </c>
      <c r="F948" t="s">
        <v>145</v>
      </c>
    </row>
    <row r="949" spans="1:6">
      <c r="A949" t="s">
        <v>68</v>
      </c>
      <c r="B949" t="s">
        <v>158</v>
      </c>
      <c r="C949" t="s">
        <v>790</v>
      </c>
      <c r="D949" t="s">
        <v>217</v>
      </c>
      <c r="F949" t="s">
        <v>145</v>
      </c>
    </row>
    <row r="950" spans="1:6">
      <c r="A950" t="s">
        <v>68</v>
      </c>
      <c r="B950" t="s">
        <v>158</v>
      </c>
      <c r="C950" t="s">
        <v>257</v>
      </c>
      <c r="D950" t="s">
        <v>160</v>
      </c>
      <c r="F950" t="s">
        <v>145</v>
      </c>
    </row>
    <row r="951" spans="1:6">
      <c r="A951" t="s">
        <v>68</v>
      </c>
      <c r="B951" t="s">
        <v>158</v>
      </c>
      <c r="C951" t="s">
        <v>835</v>
      </c>
      <c r="D951" t="s">
        <v>836</v>
      </c>
      <c r="F951" t="s">
        <v>337</v>
      </c>
    </row>
    <row r="952" spans="1:6">
      <c r="A952" t="s">
        <v>68</v>
      </c>
      <c r="B952" t="s">
        <v>158</v>
      </c>
      <c r="C952" t="s">
        <v>408</v>
      </c>
      <c r="D952" t="s">
        <v>409</v>
      </c>
      <c r="F952" t="s">
        <v>145</v>
      </c>
    </row>
    <row r="953" spans="1:6">
      <c r="A953" t="s">
        <v>89</v>
      </c>
      <c r="B953" t="s">
        <v>10</v>
      </c>
      <c r="C953" t="s">
        <v>70</v>
      </c>
      <c r="D953" t="s">
        <v>164</v>
      </c>
      <c r="F953" t="s">
        <v>145</v>
      </c>
    </row>
    <row r="954" spans="1:6">
      <c r="A954" t="s">
        <v>89</v>
      </c>
      <c r="B954" t="s">
        <v>10</v>
      </c>
      <c r="C954" t="s">
        <v>90</v>
      </c>
      <c r="D954" t="s">
        <v>144</v>
      </c>
      <c r="F954" t="s">
        <v>145</v>
      </c>
    </row>
    <row r="955" spans="1:6">
      <c r="A955" t="s">
        <v>89</v>
      </c>
      <c r="B955" t="s">
        <v>10</v>
      </c>
      <c r="C955" t="s">
        <v>93</v>
      </c>
      <c r="D955" t="s">
        <v>144</v>
      </c>
      <c r="F955" t="s">
        <v>145</v>
      </c>
    </row>
    <row r="956" spans="1:6">
      <c r="A956" t="s">
        <v>89</v>
      </c>
      <c r="B956" t="s">
        <v>10</v>
      </c>
      <c r="C956" t="s">
        <v>91</v>
      </c>
      <c r="D956" t="s">
        <v>144</v>
      </c>
      <c r="F956" t="s">
        <v>145</v>
      </c>
    </row>
    <row r="957" spans="1:6">
      <c r="A957" t="s">
        <v>89</v>
      </c>
      <c r="B957" t="s">
        <v>10</v>
      </c>
      <c r="C957" t="s">
        <v>92</v>
      </c>
      <c r="D957" t="s">
        <v>144</v>
      </c>
      <c r="F957" t="s">
        <v>145</v>
      </c>
    </row>
    <row r="958" spans="1:6">
      <c r="A958" t="s">
        <v>89</v>
      </c>
      <c r="C958" t="s">
        <v>575</v>
      </c>
      <c r="D958" t="s">
        <v>164</v>
      </c>
      <c r="E958" t="s">
        <v>837</v>
      </c>
      <c r="F958" t="s">
        <v>145</v>
      </c>
    </row>
    <row r="959" spans="1:6">
      <c r="A959" t="s">
        <v>89</v>
      </c>
      <c r="C959" t="s">
        <v>838</v>
      </c>
      <c r="D959" t="s">
        <v>144</v>
      </c>
      <c r="E959" t="s">
        <v>837</v>
      </c>
      <c r="F959" t="s">
        <v>145</v>
      </c>
    </row>
    <row r="960" spans="1:6">
      <c r="A960" t="s">
        <v>89</v>
      </c>
      <c r="C960" t="s">
        <v>839</v>
      </c>
      <c r="D960" t="s">
        <v>144</v>
      </c>
      <c r="E960" t="s">
        <v>837</v>
      </c>
      <c r="F960" t="s">
        <v>145</v>
      </c>
    </row>
    <row r="961" spans="1:6">
      <c r="A961" t="s">
        <v>89</v>
      </c>
      <c r="C961" t="s">
        <v>831</v>
      </c>
      <c r="D961" t="s">
        <v>164</v>
      </c>
      <c r="E961" t="s">
        <v>840</v>
      </c>
      <c r="F961" t="s">
        <v>145</v>
      </c>
    </row>
    <row r="962" spans="1:6">
      <c r="A962" t="s">
        <v>89</v>
      </c>
      <c r="C962" t="s">
        <v>841</v>
      </c>
      <c r="D962" t="s">
        <v>144</v>
      </c>
      <c r="E962" t="s">
        <v>840</v>
      </c>
      <c r="F962" t="s">
        <v>145</v>
      </c>
    </row>
    <row r="963" spans="1:6">
      <c r="A963" t="s">
        <v>89</v>
      </c>
      <c r="C963" t="s">
        <v>842</v>
      </c>
      <c r="D963" t="s">
        <v>144</v>
      </c>
      <c r="E963" t="s">
        <v>840</v>
      </c>
      <c r="F963" t="s">
        <v>145</v>
      </c>
    </row>
    <row r="964" spans="1:6">
      <c r="A964" t="s">
        <v>89</v>
      </c>
      <c r="C964" t="s">
        <v>843</v>
      </c>
      <c r="D964" t="s">
        <v>144</v>
      </c>
      <c r="E964" t="s">
        <v>840</v>
      </c>
      <c r="F964" t="s">
        <v>145</v>
      </c>
    </row>
    <row r="965" spans="1:6">
      <c r="A965" t="s">
        <v>89</v>
      </c>
      <c r="C965" t="s">
        <v>844</v>
      </c>
      <c r="D965" t="s">
        <v>144</v>
      </c>
      <c r="E965" t="s">
        <v>840</v>
      </c>
      <c r="F965" t="s">
        <v>145</v>
      </c>
    </row>
    <row r="966" spans="1:6">
      <c r="A966" t="s">
        <v>89</v>
      </c>
      <c r="B966" t="s">
        <v>542</v>
      </c>
      <c r="C966" t="s">
        <v>825</v>
      </c>
      <c r="D966" t="s">
        <v>164</v>
      </c>
      <c r="F966" t="s">
        <v>145</v>
      </c>
    </row>
    <row r="967" spans="1:6">
      <c r="A967" t="s">
        <v>89</v>
      </c>
      <c r="B967" t="s">
        <v>542</v>
      </c>
      <c r="C967" t="s">
        <v>845</v>
      </c>
      <c r="D967" t="s">
        <v>144</v>
      </c>
      <c r="F967" t="s">
        <v>145</v>
      </c>
    </row>
    <row r="968" spans="1:6">
      <c r="A968" t="s">
        <v>89</v>
      </c>
      <c r="B968" t="s">
        <v>542</v>
      </c>
      <c r="C968" t="s">
        <v>846</v>
      </c>
      <c r="D968" t="s">
        <v>144</v>
      </c>
      <c r="F968" t="s">
        <v>145</v>
      </c>
    </row>
    <row r="969" spans="1:6">
      <c r="A969" t="s">
        <v>89</v>
      </c>
      <c r="B969" t="s">
        <v>542</v>
      </c>
      <c r="C969" t="s">
        <v>847</v>
      </c>
      <c r="D969" t="s">
        <v>144</v>
      </c>
      <c r="F969" t="s">
        <v>145</v>
      </c>
    </row>
    <row r="970" spans="1:6">
      <c r="A970" t="s">
        <v>89</v>
      </c>
      <c r="B970" t="s">
        <v>542</v>
      </c>
      <c r="C970" t="s">
        <v>848</v>
      </c>
      <c r="D970" t="s">
        <v>144</v>
      </c>
      <c r="F970" t="s">
        <v>145</v>
      </c>
    </row>
    <row r="971" spans="1:6">
      <c r="A971" t="s">
        <v>89</v>
      </c>
      <c r="B971" t="s">
        <v>535</v>
      </c>
      <c r="C971" t="s">
        <v>828</v>
      </c>
      <c r="D971" t="s">
        <v>164</v>
      </c>
      <c r="F971" t="s">
        <v>145</v>
      </c>
    </row>
    <row r="972" spans="1:6">
      <c r="A972" t="s">
        <v>89</v>
      </c>
      <c r="B972" t="s">
        <v>535</v>
      </c>
      <c r="C972" t="s">
        <v>849</v>
      </c>
      <c r="D972" t="s">
        <v>144</v>
      </c>
      <c r="F972" t="s">
        <v>145</v>
      </c>
    </row>
    <row r="973" spans="1:6">
      <c r="A973" t="s">
        <v>89</v>
      </c>
      <c r="B973" t="s">
        <v>535</v>
      </c>
      <c r="C973" t="s">
        <v>850</v>
      </c>
      <c r="D973" t="s">
        <v>144</v>
      </c>
      <c r="F973" t="s">
        <v>145</v>
      </c>
    </row>
    <row r="974" spans="1:6">
      <c r="A974" t="s">
        <v>89</v>
      </c>
      <c r="B974" t="s">
        <v>535</v>
      </c>
      <c r="C974" t="s">
        <v>851</v>
      </c>
      <c r="D974" t="s">
        <v>144</v>
      </c>
      <c r="F974" t="s">
        <v>145</v>
      </c>
    </row>
    <row r="975" spans="1:6">
      <c r="A975" t="s">
        <v>89</v>
      </c>
      <c r="B975" t="s">
        <v>535</v>
      </c>
      <c r="C975" t="s">
        <v>852</v>
      </c>
      <c r="D975" t="s">
        <v>144</v>
      </c>
      <c r="F975" t="s">
        <v>145</v>
      </c>
    </row>
    <row r="976" spans="1:6">
      <c r="A976" t="s">
        <v>89</v>
      </c>
      <c r="B976" t="s">
        <v>647</v>
      </c>
      <c r="C976" t="s">
        <v>853</v>
      </c>
      <c r="D976" t="s">
        <v>164</v>
      </c>
      <c r="F976" t="s">
        <v>647</v>
      </c>
    </row>
    <row r="977" spans="1:6">
      <c r="A977" t="s">
        <v>89</v>
      </c>
      <c r="B977" t="s">
        <v>647</v>
      </c>
      <c r="C977" t="s">
        <v>854</v>
      </c>
      <c r="D977" t="s">
        <v>144</v>
      </c>
      <c r="F977" t="s">
        <v>647</v>
      </c>
    </row>
    <row r="978" spans="1:6">
      <c r="A978" t="s">
        <v>89</v>
      </c>
      <c r="B978" t="s">
        <v>647</v>
      </c>
      <c r="C978" t="s">
        <v>855</v>
      </c>
      <c r="D978" t="s">
        <v>144</v>
      </c>
      <c r="F978" t="s">
        <v>647</v>
      </c>
    </row>
    <row r="979" spans="1:6">
      <c r="A979" t="s">
        <v>89</v>
      </c>
      <c r="B979" t="s">
        <v>856</v>
      </c>
      <c r="C979" t="s">
        <v>834</v>
      </c>
      <c r="D979" t="s">
        <v>164</v>
      </c>
      <c r="F979" t="s">
        <v>145</v>
      </c>
    </row>
    <row r="980" spans="1:6">
      <c r="A980" t="s">
        <v>89</v>
      </c>
      <c r="B980" t="s">
        <v>856</v>
      </c>
      <c r="C980" t="s">
        <v>857</v>
      </c>
      <c r="D980" t="s">
        <v>144</v>
      </c>
      <c r="F980" t="s">
        <v>145</v>
      </c>
    </row>
    <row r="981" spans="1:6">
      <c r="A981" t="s">
        <v>89</v>
      </c>
      <c r="B981" t="s">
        <v>856</v>
      </c>
      <c r="C981" t="s">
        <v>858</v>
      </c>
      <c r="D981" t="s">
        <v>144</v>
      </c>
      <c r="F981" t="s">
        <v>145</v>
      </c>
    </row>
    <row r="982" spans="1:6">
      <c r="A982" t="s">
        <v>89</v>
      </c>
      <c r="B982" t="s">
        <v>856</v>
      </c>
      <c r="C982" t="s">
        <v>859</v>
      </c>
      <c r="D982" t="s">
        <v>144</v>
      </c>
      <c r="F982" t="s">
        <v>145</v>
      </c>
    </row>
    <row r="983" spans="1:6">
      <c r="A983" t="s">
        <v>89</v>
      </c>
      <c r="B983" t="s">
        <v>856</v>
      </c>
      <c r="C983" t="s">
        <v>860</v>
      </c>
      <c r="D983" t="s">
        <v>144</v>
      </c>
      <c r="F983" t="s">
        <v>145</v>
      </c>
    </row>
    <row r="984" spans="1:6">
      <c r="A984" t="s">
        <v>89</v>
      </c>
      <c r="B984" t="s">
        <v>158</v>
      </c>
      <c r="C984" t="s">
        <v>801</v>
      </c>
      <c r="D984" t="s">
        <v>217</v>
      </c>
      <c r="F984" t="s">
        <v>145</v>
      </c>
    </row>
    <row r="985" spans="1:6">
      <c r="A985" t="s">
        <v>89</v>
      </c>
      <c r="B985" t="s">
        <v>158</v>
      </c>
      <c r="C985" t="s">
        <v>861</v>
      </c>
      <c r="D985" t="s">
        <v>217</v>
      </c>
      <c r="F985" t="s">
        <v>145</v>
      </c>
    </row>
    <row r="986" spans="1:6">
      <c r="A986" t="s">
        <v>89</v>
      </c>
      <c r="B986" t="s">
        <v>158</v>
      </c>
      <c r="C986" t="s">
        <v>806</v>
      </c>
      <c r="D986" t="s">
        <v>217</v>
      </c>
      <c r="F986" t="s">
        <v>145</v>
      </c>
    </row>
    <row r="987" spans="1:6">
      <c r="A987" t="s">
        <v>76</v>
      </c>
      <c r="B987" t="s">
        <v>158</v>
      </c>
      <c r="C987" t="s">
        <v>408</v>
      </c>
      <c r="D987" t="s">
        <v>409</v>
      </c>
      <c r="F987" t="s">
        <v>145</v>
      </c>
    </row>
    <row r="988" spans="1:6">
      <c r="A988" t="s">
        <v>89</v>
      </c>
      <c r="B988" t="s">
        <v>158</v>
      </c>
      <c r="C988" t="s">
        <v>69</v>
      </c>
      <c r="D988" t="s">
        <v>219</v>
      </c>
      <c r="F988" t="s">
        <v>145</v>
      </c>
    </row>
    <row r="989" spans="1:6">
      <c r="A989" t="s">
        <v>89</v>
      </c>
      <c r="B989" t="s">
        <v>158</v>
      </c>
      <c r="C989" t="s">
        <v>257</v>
      </c>
      <c r="D989" t="s">
        <v>160</v>
      </c>
      <c r="F989" t="s">
        <v>145</v>
      </c>
    </row>
    <row r="990" spans="1:6">
      <c r="A990" t="s">
        <v>89</v>
      </c>
      <c r="B990" t="s">
        <v>158</v>
      </c>
      <c r="C990" t="s">
        <v>835</v>
      </c>
      <c r="D990" t="s">
        <v>836</v>
      </c>
      <c r="F990" t="s">
        <v>337</v>
      </c>
    </row>
    <row r="991" spans="1:6">
      <c r="A991" t="s">
        <v>81</v>
      </c>
      <c r="B991" t="s">
        <v>10</v>
      </c>
      <c r="C991" t="s">
        <v>86</v>
      </c>
      <c r="D991" t="s">
        <v>164</v>
      </c>
      <c r="F991" t="s">
        <v>145</v>
      </c>
    </row>
    <row r="992" spans="1:6">
      <c r="A992" t="s">
        <v>81</v>
      </c>
      <c r="B992" t="s">
        <v>10</v>
      </c>
      <c r="C992" t="s">
        <v>82</v>
      </c>
      <c r="D992" t="s">
        <v>144</v>
      </c>
      <c r="F992" t="s">
        <v>145</v>
      </c>
    </row>
    <row r="993" spans="1:6">
      <c r="A993" t="s">
        <v>81</v>
      </c>
      <c r="B993" t="s">
        <v>10</v>
      </c>
      <c r="C993" t="s">
        <v>84</v>
      </c>
      <c r="D993" t="s">
        <v>144</v>
      </c>
      <c r="F993" t="s">
        <v>145</v>
      </c>
    </row>
    <row r="994" spans="1:6">
      <c r="A994" t="s">
        <v>81</v>
      </c>
      <c r="B994" t="s">
        <v>10</v>
      </c>
      <c r="C994" t="s">
        <v>85</v>
      </c>
      <c r="D994" t="s">
        <v>144</v>
      </c>
      <c r="F994" t="s">
        <v>145</v>
      </c>
    </row>
    <row r="995" spans="1:6">
      <c r="A995" t="s">
        <v>81</v>
      </c>
      <c r="B995" t="s">
        <v>10</v>
      </c>
      <c r="C995" t="s">
        <v>87</v>
      </c>
      <c r="D995" t="s">
        <v>144</v>
      </c>
      <c r="F995" t="s">
        <v>145</v>
      </c>
    </row>
    <row r="996" spans="1:6">
      <c r="A996" t="s">
        <v>81</v>
      </c>
      <c r="B996" t="s">
        <v>10</v>
      </c>
      <c r="C996" t="s">
        <v>83</v>
      </c>
      <c r="D996" t="s">
        <v>144</v>
      </c>
      <c r="F996" t="s">
        <v>145</v>
      </c>
    </row>
    <row r="997" spans="1:6">
      <c r="A997" t="s">
        <v>81</v>
      </c>
      <c r="B997" t="s">
        <v>856</v>
      </c>
      <c r="C997" t="s">
        <v>857</v>
      </c>
      <c r="D997" t="s">
        <v>164</v>
      </c>
      <c r="F997" t="s">
        <v>145</v>
      </c>
    </row>
    <row r="998" spans="1:6">
      <c r="A998" t="s">
        <v>81</v>
      </c>
      <c r="B998" t="s">
        <v>856</v>
      </c>
      <c r="C998" t="s">
        <v>862</v>
      </c>
      <c r="D998" t="s">
        <v>144</v>
      </c>
      <c r="F998" t="s">
        <v>145</v>
      </c>
    </row>
    <row r="999" spans="1:6">
      <c r="A999" t="s">
        <v>81</v>
      </c>
      <c r="B999" t="s">
        <v>856</v>
      </c>
      <c r="C999" t="s">
        <v>863</v>
      </c>
      <c r="D999" t="s">
        <v>144</v>
      </c>
      <c r="F999" t="s">
        <v>145</v>
      </c>
    </row>
    <row r="1000" spans="1:6">
      <c r="A1000" t="s">
        <v>81</v>
      </c>
      <c r="B1000" t="s">
        <v>856</v>
      </c>
      <c r="C1000" t="s">
        <v>864</v>
      </c>
      <c r="D1000" t="s">
        <v>144</v>
      </c>
      <c r="F1000" t="s">
        <v>145</v>
      </c>
    </row>
    <row r="1001" spans="1:6">
      <c r="A1001" t="s">
        <v>81</v>
      </c>
      <c r="B1001" t="s">
        <v>856</v>
      </c>
      <c r="C1001" t="s">
        <v>865</v>
      </c>
      <c r="D1001" t="s">
        <v>144</v>
      </c>
      <c r="F1001" t="s">
        <v>145</v>
      </c>
    </row>
    <row r="1002" spans="1:6">
      <c r="A1002" t="s">
        <v>81</v>
      </c>
      <c r="B1002" t="s">
        <v>384</v>
      </c>
      <c r="C1002" t="s">
        <v>821</v>
      </c>
      <c r="D1002" t="s">
        <v>164</v>
      </c>
      <c r="F1002" t="s">
        <v>145</v>
      </c>
    </row>
    <row r="1003" spans="1:6">
      <c r="A1003" t="s">
        <v>81</v>
      </c>
      <c r="B1003" t="s">
        <v>384</v>
      </c>
      <c r="C1003" t="s">
        <v>866</v>
      </c>
      <c r="D1003" t="s">
        <v>144</v>
      </c>
      <c r="F1003" t="s">
        <v>145</v>
      </c>
    </row>
    <row r="1004" spans="1:6">
      <c r="A1004" t="s">
        <v>81</v>
      </c>
      <c r="B1004" t="s">
        <v>384</v>
      </c>
      <c r="C1004" t="s">
        <v>867</v>
      </c>
      <c r="D1004" t="s">
        <v>144</v>
      </c>
      <c r="F1004" t="s">
        <v>145</v>
      </c>
    </row>
    <row r="1005" spans="1:6">
      <c r="A1005" t="s">
        <v>81</v>
      </c>
      <c r="B1005" t="s">
        <v>384</v>
      </c>
      <c r="C1005" t="s">
        <v>868</v>
      </c>
      <c r="D1005" t="s">
        <v>144</v>
      </c>
      <c r="F1005" t="s">
        <v>145</v>
      </c>
    </row>
    <row r="1006" spans="1:6">
      <c r="A1006" t="s">
        <v>81</v>
      </c>
      <c r="B1006" t="s">
        <v>384</v>
      </c>
      <c r="C1006" t="s">
        <v>869</v>
      </c>
      <c r="D1006" t="s">
        <v>144</v>
      </c>
      <c r="F1006" t="s">
        <v>145</v>
      </c>
    </row>
    <row r="1007" spans="1:6">
      <c r="A1007" t="s">
        <v>81</v>
      </c>
      <c r="B1007" t="s">
        <v>647</v>
      </c>
      <c r="C1007" t="s">
        <v>710</v>
      </c>
      <c r="D1007" t="s">
        <v>164</v>
      </c>
      <c r="F1007" t="s">
        <v>145</v>
      </c>
    </row>
    <row r="1008" spans="1:6">
      <c r="A1008" t="s">
        <v>81</v>
      </c>
      <c r="B1008" t="s">
        <v>647</v>
      </c>
      <c r="C1008" t="s">
        <v>870</v>
      </c>
      <c r="D1008" t="s">
        <v>144</v>
      </c>
      <c r="F1008" t="s">
        <v>145</v>
      </c>
    </row>
    <row r="1009" spans="1:6">
      <c r="A1009" t="s">
        <v>81</v>
      </c>
      <c r="B1009" t="s">
        <v>647</v>
      </c>
      <c r="C1009" t="s">
        <v>871</v>
      </c>
      <c r="D1009" t="s">
        <v>144</v>
      </c>
      <c r="F1009" t="s">
        <v>145</v>
      </c>
    </row>
    <row r="1010" spans="1:6">
      <c r="A1010" t="s">
        <v>81</v>
      </c>
      <c r="B1010" t="s">
        <v>535</v>
      </c>
      <c r="C1010" t="s">
        <v>844</v>
      </c>
      <c r="D1010" t="s">
        <v>164</v>
      </c>
      <c r="F1010" t="s">
        <v>145</v>
      </c>
    </row>
    <row r="1011" spans="1:6">
      <c r="A1011" t="s">
        <v>81</v>
      </c>
      <c r="B1011" t="s">
        <v>535</v>
      </c>
      <c r="C1011" t="s">
        <v>872</v>
      </c>
      <c r="D1011" t="s">
        <v>144</v>
      </c>
      <c r="F1011" t="s">
        <v>145</v>
      </c>
    </row>
    <row r="1012" spans="1:6">
      <c r="A1012" t="s">
        <v>81</v>
      </c>
      <c r="B1012" t="s">
        <v>535</v>
      </c>
      <c r="C1012" t="s">
        <v>873</v>
      </c>
      <c r="D1012" t="s">
        <v>144</v>
      </c>
      <c r="F1012" t="s">
        <v>145</v>
      </c>
    </row>
    <row r="1013" spans="1:6">
      <c r="A1013" t="s">
        <v>81</v>
      </c>
      <c r="B1013" t="s">
        <v>535</v>
      </c>
      <c r="C1013" t="s">
        <v>874</v>
      </c>
      <c r="D1013" t="s">
        <v>144</v>
      </c>
      <c r="F1013" t="s">
        <v>145</v>
      </c>
    </row>
    <row r="1014" spans="1:6">
      <c r="A1014" t="s">
        <v>81</v>
      </c>
      <c r="B1014" t="s">
        <v>535</v>
      </c>
      <c r="C1014" t="s">
        <v>875</v>
      </c>
      <c r="D1014" t="s">
        <v>144</v>
      </c>
      <c r="F1014" t="s">
        <v>145</v>
      </c>
    </row>
    <row r="1015" spans="1:6">
      <c r="A1015" t="s">
        <v>81</v>
      </c>
      <c r="B1015" t="s">
        <v>542</v>
      </c>
      <c r="C1015" t="s">
        <v>846</v>
      </c>
      <c r="D1015" t="s">
        <v>164</v>
      </c>
      <c r="F1015" t="s">
        <v>145</v>
      </c>
    </row>
    <row r="1016" spans="1:6">
      <c r="A1016" t="s">
        <v>81</v>
      </c>
      <c r="B1016" t="s">
        <v>542</v>
      </c>
      <c r="C1016" t="s">
        <v>876</v>
      </c>
      <c r="D1016" t="s">
        <v>144</v>
      </c>
      <c r="F1016" t="s">
        <v>145</v>
      </c>
    </row>
    <row r="1017" spans="1:6">
      <c r="A1017" t="s">
        <v>81</v>
      </c>
      <c r="B1017" t="s">
        <v>542</v>
      </c>
      <c r="C1017" t="s">
        <v>877</v>
      </c>
      <c r="D1017" t="s">
        <v>144</v>
      </c>
      <c r="F1017" t="s">
        <v>145</v>
      </c>
    </row>
    <row r="1018" spans="1:6">
      <c r="A1018" t="s">
        <v>81</v>
      </c>
      <c r="B1018" t="s">
        <v>542</v>
      </c>
      <c r="C1018" t="s">
        <v>878</v>
      </c>
      <c r="D1018" t="s">
        <v>144</v>
      </c>
      <c r="F1018" t="s">
        <v>145</v>
      </c>
    </row>
    <row r="1019" spans="1:6">
      <c r="A1019" t="s">
        <v>81</v>
      </c>
      <c r="B1019" t="s">
        <v>542</v>
      </c>
      <c r="C1019" t="s">
        <v>879</v>
      </c>
      <c r="D1019" t="s">
        <v>144</v>
      </c>
      <c r="F1019" t="s">
        <v>145</v>
      </c>
    </row>
    <row r="1020" spans="1:6">
      <c r="A1020" t="s">
        <v>81</v>
      </c>
      <c r="B1020" t="s">
        <v>542</v>
      </c>
      <c r="C1020" t="s">
        <v>880</v>
      </c>
      <c r="D1020" t="s">
        <v>144</v>
      </c>
      <c r="F1020" t="s">
        <v>145</v>
      </c>
    </row>
    <row r="1021" spans="1:6">
      <c r="A1021" t="s">
        <v>81</v>
      </c>
      <c r="B1021" t="s">
        <v>561</v>
      </c>
      <c r="C1021" t="s">
        <v>881</v>
      </c>
      <c r="D1021" t="s">
        <v>164</v>
      </c>
      <c r="F1021" t="s">
        <v>145</v>
      </c>
    </row>
    <row r="1022" spans="1:6">
      <c r="A1022" t="s">
        <v>81</v>
      </c>
      <c r="B1022" t="s">
        <v>561</v>
      </c>
      <c r="C1022" t="s">
        <v>882</v>
      </c>
      <c r="D1022" t="s">
        <v>144</v>
      </c>
      <c r="F1022" t="s">
        <v>145</v>
      </c>
    </row>
    <row r="1023" spans="1:6">
      <c r="A1023" t="s">
        <v>81</v>
      </c>
      <c r="B1023" t="s">
        <v>561</v>
      </c>
      <c r="C1023" t="s">
        <v>883</v>
      </c>
      <c r="D1023" t="s">
        <v>144</v>
      </c>
      <c r="F1023" t="s">
        <v>145</v>
      </c>
    </row>
    <row r="1024" spans="1:6">
      <c r="A1024" t="s">
        <v>81</v>
      </c>
      <c r="B1024" t="s">
        <v>561</v>
      </c>
      <c r="C1024" t="s">
        <v>884</v>
      </c>
      <c r="D1024" t="s">
        <v>144</v>
      </c>
      <c r="F1024" t="s">
        <v>145</v>
      </c>
    </row>
    <row r="1025" spans="1:6">
      <c r="A1025" t="s">
        <v>81</v>
      </c>
      <c r="B1025" t="s">
        <v>561</v>
      </c>
      <c r="C1025" t="s">
        <v>885</v>
      </c>
      <c r="D1025" t="s">
        <v>144</v>
      </c>
      <c r="F1025" t="s">
        <v>145</v>
      </c>
    </row>
    <row r="1026" spans="1:6">
      <c r="A1026" t="s">
        <v>81</v>
      </c>
      <c r="B1026" t="s">
        <v>158</v>
      </c>
      <c r="C1026" t="s">
        <v>806</v>
      </c>
      <c r="D1026" t="s">
        <v>217</v>
      </c>
      <c r="F1026" t="s">
        <v>145</v>
      </c>
    </row>
    <row r="1027" spans="1:6">
      <c r="A1027" t="s">
        <v>81</v>
      </c>
      <c r="B1027" t="s">
        <v>158</v>
      </c>
      <c r="C1027" t="s">
        <v>886</v>
      </c>
      <c r="D1027" t="s">
        <v>217</v>
      </c>
      <c r="F1027" t="s">
        <v>145</v>
      </c>
    </row>
    <row r="1028" spans="1:6">
      <c r="A1028" t="s">
        <v>81</v>
      </c>
      <c r="B1028" t="s">
        <v>158</v>
      </c>
      <c r="C1028" t="s">
        <v>801</v>
      </c>
      <c r="D1028" t="s">
        <v>217</v>
      </c>
      <c r="F1028" t="s">
        <v>145</v>
      </c>
    </row>
    <row r="1029" spans="1:6">
      <c r="A1029" t="s">
        <v>81</v>
      </c>
      <c r="B1029" t="s">
        <v>158</v>
      </c>
      <c r="C1029" t="s">
        <v>817</v>
      </c>
      <c r="D1029" t="s">
        <v>217</v>
      </c>
      <c r="F1029" t="s">
        <v>145</v>
      </c>
    </row>
    <row r="1030" spans="1:6">
      <c r="A1030" t="s">
        <v>81</v>
      </c>
      <c r="B1030" t="s">
        <v>158</v>
      </c>
      <c r="C1030" t="s">
        <v>69</v>
      </c>
      <c r="D1030" t="s">
        <v>219</v>
      </c>
      <c r="F1030" t="s">
        <v>145</v>
      </c>
    </row>
    <row r="1031" spans="1:6">
      <c r="A1031" t="s">
        <v>81</v>
      </c>
      <c r="B1031" t="s">
        <v>158</v>
      </c>
      <c r="C1031" t="s">
        <v>257</v>
      </c>
      <c r="D1031" t="s">
        <v>160</v>
      </c>
      <c r="F1031" t="s">
        <v>145</v>
      </c>
    </row>
    <row r="1032" spans="1:6">
      <c r="A1032" t="s">
        <v>81</v>
      </c>
      <c r="B1032" t="s">
        <v>158</v>
      </c>
      <c r="C1032" t="s">
        <v>887</v>
      </c>
      <c r="D1032" t="s">
        <v>836</v>
      </c>
      <c r="F1032" t="s">
        <v>337</v>
      </c>
    </row>
    <row r="1033" spans="1:6">
      <c r="A1033" t="s">
        <v>102</v>
      </c>
      <c r="B1033" t="s">
        <v>10</v>
      </c>
      <c r="C1033" t="s">
        <v>84</v>
      </c>
      <c r="D1033" t="s">
        <v>164</v>
      </c>
      <c r="F1033" t="s">
        <v>145</v>
      </c>
    </row>
    <row r="1034" spans="1:6">
      <c r="A1034" t="s">
        <v>102</v>
      </c>
      <c r="B1034" t="s">
        <v>10</v>
      </c>
      <c r="C1034" t="s">
        <v>103</v>
      </c>
      <c r="D1034" t="s">
        <v>144</v>
      </c>
      <c r="F1034" t="s">
        <v>145</v>
      </c>
    </row>
    <row r="1035" spans="1:6">
      <c r="A1035" t="s">
        <v>102</v>
      </c>
      <c r="B1035" t="s">
        <v>10</v>
      </c>
      <c r="C1035" t="s">
        <v>104</v>
      </c>
      <c r="D1035" t="s">
        <v>144</v>
      </c>
      <c r="F1035" t="s">
        <v>145</v>
      </c>
    </row>
    <row r="1036" spans="1:6">
      <c r="A1036" t="s">
        <v>102</v>
      </c>
      <c r="B1036" t="s">
        <v>10</v>
      </c>
      <c r="C1036" t="s">
        <v>99</v>
      </c>
      <c r="D1036" t="s">
        <v>144</v>
      </c>
      <c r="F1036" t="s">
        <v>145</v>
      </c>
    </row>
    <row r="1037" spans="1:6">
      <c r="A1037" t="s">
        <v>102</v>
      </c>
      <c r="B1037" t="s">
        <v>542</v>
      </c>
      <c r="C1037" t="s">
        <v>877</v>
      </c>
      <c r="D1037" t="s">
        <v>164</v>
      </c>
      <c r="F1037" t="s">
        <v>145</v>
      </c>
    </row>
    <row r="1038" spans="1:6">
      <c r="A1038" t="s">
        <v>102</v>
      </c>
      <c r="B1038" t="s">
        <v>542</v>
      </c>
      <c r="C1038" t="s">
        <v>888</v>
      </c>
      <c r="D1038" t="s">
        <v>144</v>
      </c>
      <c r="F1038" t="s">
        <v>145</v>
      </c>
    </row>
    <row r="1039" spans="1:6">
      <c r="A1039" t="s">
        <v>102</v>
      </c>
      <c r="B1039" t="s">
        <v>542</v>
      </c>
      <c r="C1039" t="s">
        <v>889</v>
      </c>
      <c r="D1039" t="s">
        <v>144</v>
      </c>
      <c r="F1039" t="s">
        <v>145</v>
      </c>
    </row>
    <row r="1040" spans="1:6">
      <c r="A1040" t="s">
        <v>102</v>
      </c>
      <c r="B1040" t="s">
        <v>542</v>
      </c>
      <c r="C1040" t="s">
        <v>890</v>
      </c>
      <c r="D1040" t="s">
        <v>144</v>
      </c>
      <c r="F1040" t="s">
        <v>145</v>
      </c>
    </row>
    <row r="1041" spans="1:6">
      <c r="A1041" t="s">
        <v>102</v>
      </c>
      <c r="B1041" t="s">
        <v>542</v>
      </c>
      <c r="C1041" t="s">
        <v>891</v>
      </c>
      <c r="D1041" t="s">
        <v>144</v>
      </c>
      <c r="F1041" t="s">
        <v>145</v>
      </c>
    </row>
    <row r="1042" spans="1:6">
      <c r="A1042" t="s">
        <v>102</v>
      </c>
      <c r="B1042" t="s">
        <v>535</v>
      </c>
      <c r="C1042" t="s">
        <v>842</v>
      </c>
      <c r="D1042" t="s">
        <v>164</v>
      </c>
      <c r="F1042" t="s">
        <v>145</v>
      </c>
    </row>
    <row r="1043" spans="1:6">
      <c r="A1043" t="s">
        <v>102</v>
      </c>
      <c r="B1043" t="s">
        <v>535</v>
      </c>
      <c r="C1043" t="s">
        <v>892</v>
      </c>
      <c r="D1043" t="s">
        <v>144</v>
      </c>
      <c r="F1043" t="s">
        <v>145</v>
      </c>
    </row>
    <row r="1044" spans="1:6">
      <c r="A1044" t="s">
        <v>102</v>
      </c>
      <c r="B1044" t="s">
        <v>535</v>
      </c>
      <c r="C1044" t="s">
        <v>893</v>
      </c>
      <c r="D1044" t="s">
        <v>144</v>
      </c>
      <c r="F1044" t="s">
        <v>145</v>
      </c>
    </row>
    <row r="1045" spans="1:6">
      <c r="A1045" t="s">
        <v>102</v>
      </c>
      <c r="B1045" t="s">
        <v>535</v>
      </c>
      <c r="C1045" t="s">
        <v>894</v>
      </c>
      <c r="D1045" t="s">
        <v>144</v>
      </c>
      <c r="F1045" t="s">
        <v>145</v>
      </c>
    </row>
    <row r="1046" spans="1:6">
      <c r="A1046" t="s">
        <v>102</v>
      </c>
      <c r="B1046" t="s">
        <v>647</v>
      </c>
      <c r="C1046" t="s">
        <v>710</v>
      </c>
      <c r="D1046" t="s">
        <v>164</v>
      </c>
      <c r="E1046" s="5" t="s">
        <v>895</v>
      </c>
      <c r="F1046" t="s">
        <v>647</v>
      </c>
    </row>
    <row r="1047" spans="1:6">
      <c r="A1047" t="s">
        <v>102</v>
      </c>
      <c r="B1047" t="s">
        <v>647</v>
      </c>
      <c r="C1047" t="s">
        <v>896</v>
      </c>
      <c r="D1047" t="s">
        <v>144</v>
      </c>
      <c r="E1047" s="5" t="s">
        <v>895</v>
      </c>
      <c r="F1047" t="s">
        <v>647</v>
      </c>
    </row>
    <row r="1048" spans="1:6">
      <c r="A1048" t="s">
        <v>102</v>
      </c>
      <c r="B1048" t="s">
        <v>647</v>
      </c>
      <c r="C1048" t="s">
        <v>897</v>
      </c>
      <c r="D1048" t="s">
        <v>144</v>
      </c>
      <c r="E1048" s="5" t="s">
        <v>895</v>
      </c>
      <c r="F1048" t="s">
        <v>647</v>
      </c>
    </row>
    <row r="1049" spans="1:6">
      <c r="A1049" t="s">
        <v>102</v>
      </c>
      <c r="B1049" t="s">
        <v>647</v>
      </c>
      <c r="C1049" t="s">
        <v>898</v>
      </c>
      <c r="D1049" t="s">
        <v>164</v>
      </c>
      <c r="E1049" t="s">
        <v>899</v>
      </c>
      <c r="F1049" t="s">
        <v>647</v>
      </c>
    </row>
    <row r="1050" spans="1:6">
      <c r="A1050" t="s">
        <v>102</v>
      </c>
      <c r="B1050" t="s">
        <v>647</v>
      </c>
      <c r="C1050" t="s">
        <v>900</v>
      </c>
      <c r="D1050" t="s">
        <v>144</v>
      </c>
      <c r="E1050" t="s">
        <v>899</v>
      </c>
      <c r="F1050" t="s">
        <v>647</v>
      </c>
    </row>
    <row r="1051" spans="1:6">
      <c r="A1051" t="s">
        <v>102</v>
      </c>
      <c r="B1051" t="s">
        <v>647</v>
      </c>
      <c r="C1051" t="s">
        <v>901</v>
      </c>
      <c r="D1051" t="s">
        <v>144</v>
      </c>
      <c r="E1051" t="s">
        <v>899</v>
      </c>
      <c r="F1051" t="s">
        <v>647</v>
      </c>
    </row>
    <row r="1052" spans="1:6">
      <c r="A1052" t="s">
        <v>102</v>
      </c>
      <c r="B1052" t="s">
        <v>856</v>
      </c>
      <c r="C1052" t="s">
        <v>873</v>
      </c>
      <c r="D1052" t="s">
        <v>164</v>
      </c>
      <c r="F1052" t="s">
        <v>145</v>
      </c>
    </row>
    <row r="1053" spans="1:6">
      <c r="A1053" t="s">
        <v>102</v>
      </c>
      <c r="B1053" t="s">
        <v>856</v>
      </c>
      <c r="C1053" t="s">
        <v>902</v>
      </c>
      <c r="D1053" t="s">
        <v>144</v>
      </c>
      <c r="F1053" t="s">
        <v>145</v>
      </c>
    </row>
    <row r="1054" spans="1:6">
      <c r="A1054" t="s">
        <v>102</v>
      </c>
      <c r="B1054" t="s">
        <v>856</v>
      </c>
      <c r="C1054" t="s">
        <v>903</v>
      </c>
      <c r="D1054" t="s">
        <v>144</v>
      </c>
      <c r="F1054" t="s">
        <v>145</v>
      </c>
    </row>
    <row r="1055" spans="1:6">
      <c r="A1055" t="s">
        <v>102</v>
      </c>
      <c r="B1055" t="s">
        <v>856</v>
      </c>
      <c r="C1055" t="s">
        <v>904</v>
      </c>
      <c r="D1055" t="s">
        <v>144</v>
      </c>
      <c r="F1055" t="s">
        <v>145</v>
      </c>
    </row>
    <row r="1056" spans="1:6">
      <c r="A1056" t="s">
        <v>102</v>
      </c>
      <c r="B1056" t="s">
        <v>158</v>
      </c>
      <c r="C1056" t="s">
        <v>801</v>
      </c>
      <c r="D1056" t="s">
        <v>217</v>
      </c>
      <c r="F1056" t="s">
        <v>145</v>
      </c>
    </row>
    <row r="1057" spans="1:6">
      <c r="A1057" t="s">
        <v>102</v>
      </c>
      <c r="B1057" t="s">
        <v>158</v>
      </c>
      <c r="C1057" t="s">
        <v>846</v>
      </c>
      <c r="D1057" t="s">
        <v>217</v>
      </c>
      <c r="F1057" t="s">
        <v>145</v>
      </c>
    </row>
    <row r="1058" spans="1:6">
      <c r="A1058" t="s">
        <v>102</v>
      </c>
      <c r="B1058" t="s">
        <v>158</v>
      </c>
      <c r="C1058" t="s">
        <v>806</v>
      </c>
      <c r="D1058" t="s">
        <v>217</v>
      </c>
      <c r="F1058" t="s">
        <v>145</v>
      </c>
    </row>
    <row r="1059" spans="1:6">
      <c r="A1059" t="s">
        <v>102</v>
      </c>
      <c r="B1059" t="s">
        <v>158</v>
      </c>
      <c r="C1059" t="s">
        <v>69</v>
      </c>
      <c r="D1059" t="s">
        <v>219</v>
      </c>
      <c r="F1059" t="s">
        <v>145</v>
      </c>
    </row>
    <row r="1060" spans="1:6">
      <c r="A1060" t="s">
        <v>102</v>
      </c>
      <c r="B1060" t="s">
        <v>158</v>
      </c>
      <c r="C1060" t="s">
        <v>257</v>
      </c>
      <c r="D1060" t="s">
        <v>160</v>
      </c>
      <c r="F1060" t="s">
        <v>145</v>
      </c>
    </row>
    <row r="1061" spans="1:6">
      <c r="A1061" t="s">
        <v>102</v>
      </c>
      <c r="B1061" t="s">
        <v>158</v>
      </c>
      <c r="C1061" t="s">
        <v>887</v>
      </c>
      <c r="D1061" t="s">
        <v>836</v>
      </c>
      <c r="F1061" t="s">
        <v>337</v>
      </c>
    </row>
    <row r="1062" spans="1:6">
      <c r="A1062" t="s">
        <v>95</v>
      </c>
      <c r="B1062" t="s">
        <v>10</v>
      </c>
      <c r="C1062" t="s">
        <v>99</v>
      </c>
      <c r="D1062" t="s">
        <v>164</v>
      </c>
      <c r="F1062" t="s">
        <v>145</v>
      </c>
    </row>
    <row r="1063" spans="1:6">
      <c r="A1063" t="s">
        <v>95</v>
      </c>
      <c r="B1063" t="s">
        <v>10</v>
      </c>
      <c r="C1063" t="s">
        <v>96</v>
      </c>
      <c r="D1063" t="s">
        <v>144</v>
      </c>
      <c r="F1063" t="s">
        <v>145</v>
      </c>
    </row>
    <row r="1064" spans="1:6">
      <c r="A1064" t="s">
        <v>95</v>
      </c>
      <c r="B1064" t="s">
        <v>10</v>
      </c>
      <c r="C1064" t="s">
        <v>97</v>
      </c>
      <c r="D1064" t="s">
        <v>144</v>
      </c>
      <c r="F1064" t="s">
        <v>145</v>
      </c>
    </row>
    <row r="1065" spans="1:6">
      <c r="A1065" t="s">
        <v>95</v>
      </c>
      <c r="B1065" t="s">
        <v>10</v>
      </c>
      <c r="C1065" t="s">
        <v>98</v>
      </c>
      <c r="D1065" t="s">
        <v>144</v>
      </c>
      <c r="F1065" t="s">
        <v>145</v>
      </c>
    </row>
    <row r="1066" spans="1:6">
      <c r="A1066" t="s">
        <v>95</v>
      </c>
      <c r="B1066" t="s">
        <v>10</v>
      </c>
      <c r="C1066" t="s">
        <v>100</v>
      </c>
      <c r="D1066" t="s">
        <v>144</v>
      </c>
      <c r="F1066" t="s">
        <v>145</v>
      </c>
    </row>
    <row r="1067" spans="1:6">
      <c r="A1067" t="s">
        <v>95</v>
      </c>
      <c r="B1067" t="s">
        <v>856</v>
      </c>
      <c r="C1067" t="s">
        <v>902</v>
      </c>
      <c r="D1067" t="s">
        <v>164</v>
      </c>
      <c r="F1067" t="s">
        <v>145</v>
      </c>
    </row>
    <row r="1068" spans="1:6">
      <c r="A1068" t="s">
        <v>95</v>
      </c>
      <c r="B1068" t="s">
        <v>856</v>
      </c>
      <c r="C1068" t="s">
        <v>905</v>
      </c>
      <c r="D1068" t="s">
        <v>144</v>
      </c>
      <c r="F1068" t="s">
        <v>145</v>
      </c>
    </row>
    <row r="1069" spans="1:6">
      <c r="A1069" t="s">
        <v>95</v>
      </c>
      <c r="B1069" t="s">
        <v>856</v>
      </c>
      <c r="C1069" t="s">
        <v>906</v>
      </c>
      <c r="D1069" t="s">
        <v>144</v>
      </c>
      <c r="F1069" t="s">
        <v>145</v>
      </c>
    </row>
    <row r="1070" spans="1:6">
      <c r="A1070" t="s">
        <v>95</v>
      </c>
      <c r="B1070" t="s">
        <v>856</v>
      </c>
      <c r="C1070" t="s">
        <v>907</v>
      </c>
      <c r="D1070" t="s">
        <v>144</v>
      </c>
      <c r="F1070" t="s">
        <v>145</v>
      </c>
    </row>
    <row r="1071" spans="1:6">
      <c r="A1071" t="s">
        <v>95</v>
      </c>
      <c r="B1071" t="s">
        <v>856</v>
      </c>
      <c r="C1071" t="s">
        <v>908</v>
      </c>
      <c r="D1071" t="s">
        <v>144</v>
      </c>
      <c r="F1071" t="s">
        <v>145</v>
      </c>
    </row>
    <row r="1072" spans="1:6">
      <c r="A1072" t="s">
        <v>95</v>
      </c>
      <c r="B1072" t="s">
        <v>647</v>
      </c>
      <c r="C1072" t="s">
        <v>900</v>
      </c>
      <c r="D1072" t="s">
        <v>164</v>
      </c>
      <c r="F1072" t="s">
        <v>647</v>
      </c>
    </row>
    <row r="1073" spans="1:6">
      <c r="A1073" t="s">
        <v>95</v>
      </c>
      <c r="B1073" t="s">
        <v>647</v>
      </c>
      <c r="C1073" t="s">
        <v>909</v>
      </c>
      <c r="D1073" t="s">
        <v>144</v>
      </c>
      <c r="F1073" t="s">
        <v>647</v>
      </c>
    </row>
    <row r="1074" spans="1:6">
      <c r="A1074" t="s">
        <v>95</v>
      </c>
      <c r="B1074" t="s">
        <v>647</v>
      </c>
      <c r="C1074" t="s">
        <v>910</v>
      </c>
      <c r="D1074" t="s">
        <v>144</v>
      </c>
      <c r="F1074" t="s">
        <v>647</v>
      </c>
    </row>
    <row r="1075" spans="1:6">
      <c r="A1075" t="s">
        <v>95</v>
      </c>
      <c r="B1075" t="s">
        <v>384</v>
      </c>
      <c r="C1075" t="s">
        <v>911</v>
      </c>
      <c r="D1075" t="s">
        <v>164</v>
      </c>
      <c r="F1075" t="s">
        <v>145</v>
      </c>
    </row>
    <row r="1076" spans="1:6">
      <c r="A1076" t="s">
        <v>95</v>
      </c>
      <c r="B1076" t="s">
        <v>384</v>
      </c>
      <c r="C1076" t="s">
        <v>912</v>
      </c>
      <c r="D1076" t="s">
        <v>144</v>
      </c>
      <c r="F1076" t="s">
        <v>145</v>
      </c>
    </row>
    <row r="1077" spans="1:6">
      <c r="A1077" t="s">
        <v>95</v>
      </c>
      <c r="B1077" t="s">
        <v>384</v>
      </c>
      <c r="C1077" t="s">
        <v>913</v>
      </c>
      <c r="D1077" t="s">
        <v>144</v>
      </c>
      <c r="F1077" t="s">
        <v>145</v>
      </c>
    </row>
    <row r="1078" spans="1:6">
      <c r="A1078" t="s">
        <v>95</v>
      </c>
      <c r="B1078" t="s">
        <v>384</v>
      </c>
      <c r="C1078" t="s">
        <v>914</v>
      </c>
      <c r="D1078" t="s">
        <v>144</v>
      </c>
      <c r="F1078" t="s">
        <v>145</v>
      </c>
    </row>
    <row r="1079" spans="1:6">
      <c r="A1079" t="s">
        <v>95</v>
      </c>
      <c r="B1079" t="s">
        <v>535</v>
      </c>
      <c r="C1079" t="s">
        <v>841</v>
      </c>
      <c r="D1079" t="s">
        <v>164</v>
      </c>
      <c r="F1079" t="s">
        <v>145</v>
      </c>
    </row>
    <row r="1080" spans="1:6">
      <c r="A1080" t="s">
        <v>95</v>
      </c>
      <c r="B1080" t="s">
        <v>535</v>
      </c>
      <c r="C1080" t="s">
        <v>915</v>
      </c>
      <c r="D1080" t="s">
        <v>144</v>
      </c>
      <c r="F1080" t="s">
        <v>145</v>
      </c>
    </row>
    <row r="1081" spans="1:6">
      <c r="A1081" t="s">
        <v>95</v>
      </c>
      <c r="B1081" t="s">
        <v>535</v>
      </c>
      <c r="C1081" t="s">
        <v>916</v>
      </c>
      <c r="D1081" t="s">
        <v>144</v>
      </c>
      <c r="F1081" t="s">
        <v>145</v>
      </c>
    </row>
    <row r="1082" spans="1:6">
      <c r="A1082" t="s">
        <v>95</v>
      </c>
      <c r="B1082" t="s">
        <v>535</v>
      </c>
      <c r="C1082" t="s">
        <v>917</v>
      </c>
      <c r="D1082" t="s">
        <v>144</v>
      </c>
      <c r="F1082" t="s">
        <v>145</v>
      </c>
    </row>
    <row r="1083" spans="1:6">
      <c r="A1083" t="s">
        <v>95</v>
      </c>
      <c r="B1083" t="s">
        <v>542</v>
      </c>
      <c r="C1083" t="s">
        <v>918</v>
      </c>
      <c r="D1083" t="s">
        <v>164</v>
      </c>
      <c r="F1083" t="s">
        <v>145</v>
      </c>
    </row>
    <row r="1084" spans="1:6">
      <c r="A1084" t="s">
        <v>95</v>
      </c>
      <c r="B1084" t="s">
        <v>542</v>
      </c>
      <c r="C1084" t="s">
        <v>919</v>
      </c>
      <c r="D1084" t="s">
        <v>144</v>
      </c>
      <c r="F1084" t="s">
        <v>145</v>
      </c>
    </row>
    <row r="1085" spans="1:6">
      <c r="A1085" t="s">
        <v>95</v>
      </c>
      <c r="B1085" t="s">
        <v>542</v>
      </c>
      <c r="C1085" t="s">
        <v>920</v>
      </c>
      <c r="D1085" t="s">
        <v>144</v>
      </c>
      <c r="F1085" t="s">
        <v>145</v>
      </c>
    </row>
    <row r="1086" spans="1:6">
      <c r="A1086" t="s">
        <v>95</v>
      </c>
      <c r="B1086" t="s">
        <v>542</v>
      </c>
      <c r="C1086" t="s">
        <v>921</v>
      </c>
      <c r="D1086" t="s">
        <v>144</v>
      </c>
      <c r="F1086" t="s">
        <v>145</v>
      </c>
    </row>
    <row r="1087" spans="1:6">
      <c r="A1087" t="s">
        <v>95</v>
      </c>
      <c r="B1087" t="s">
        <v>542</v>
      </c>
      <c r="C1087" t="s">
        <v>922</v>
      </c>
      <c r="D1087" t="s">
        <v>144</v>
      </c>
      <c r="F1087" t="s">
        <v>145</v>
      </c>
    </row>
    <row r="1088" spans="1:6">
      <c r="A1088" t="s">
        <v>95</v>
      </c>
      <c r="B1088" t="s">
        <v>542</v>
      </c>
      <c r="C1088" t="s">
        <v>923</v>
      </c>
      <c r="D1088" t="s">
        <v>144</v>
      </c>
      <c r="F1088" t="s">
        <v>145</v>
      </c>
    </row>
    <row r="1089" spans="1:6">
      <c r="A1089" t="s">
        <v>95</v>
      </c>
      <c r="B1089" t="s">
        <v>924</v>
      </c>
      <c r="C1089" t="s">
        <v>925</v>
      </c>
      <c r="D1089" t="s">
        <v>144</v>
      </c>
      <c r="F1089" t="s">
        <v>145</v>
      </c>
    </row>
    <row r="1090" spans="1:6">
      <c r="A1090" t="s">
        <v>95</v>
      </c>
      <c r="B1090" t="s">
        <v>924</v>
      </c>
      <c r="C1090" t="s">
        <v>926</v>
      </c>
      <c r="D1090" t="s">
        <v>144</v>
      </c>
      <c r="F1090" t="s">
        <v>145</v>
      </c>
    </row>
    <row r="1091" spans="1:6">
      <c r="A1091" t="s">
        <v>95</v>
      </c>
      <c r="B1091" t="s">
        <v>924</v>
      </c>
      <c r="C1091" t="s">
        <v>927</v>
      </c>
      <c r="D1091" t="s">
        <v>144</v>
      </c>
      <c r="F1091" t="s">
        <v>145</v>
      </c>
    </row>
    <row r="1092" spans="1:6">
      <c r="A1092" t="s">
        <v>95</v>
      </c>
      <c r="B1092" t="s">
        <v>158</v>
      </c>
      <c r="C1092" t="s">
        <v>873</v>
      </c>
      <c r="D1092" t="s">
        <v>217</v>
      </c>
      <c r="F1092" t="s">
        <v>145</v>
      </c>
    </row>
    <row r="1093" spans="1:6">
      <c r="A1093" t="s">
        <v>95</v>
      </c>
      <c r="B1093" t="s">
        <v>158</v>
      </c>
      <c r="C1093" t="s">
        <v>898</v>
      </c>
      <c r="D1093" t="s">
        <v>217</v>
      </c>
      <c r="F1093" t="s">
        <v>145</v>
      </c>
    </row>
    <row r="1094" spans="1:6">
      <c r="A1094" t="s">
        <v>95</v>
      </c>
      <c r="B1094" t="s">
        <v>158</v>
      </c>
      <c r="C1094" t="s">
        <v>928</v>
      </c>
      <c r="D1094" t="s">
        <v>217</v>
      </c>
      <c r="F1094" t="s">
        <v>145</v>
      </c>
    </row>
    <row r="1095" spans="1:6">
      <c r="A1095" t="s">
        <v>95</v>
      </c>
      <c r="B1095" t="s">
        <v>158</v>
      </c>
      <c r="C1095" t="s">
        <v>69</v>
      </c>
      <c r="D1095" t="s">
        <v>219</v>
      </c>
      <c r="F1095" t="s">
        <v>145</v>
      </c>
    </row>
    <row r="1096" spans="1:6">
      <c r="A1096" t="s">
        <v>95</v>
      </c>
      <c r="B1096" t="s">
        <v>158</v>
      </c>
      <c r="C1096" t="s">
        <v>257</v>
      </c>
      <c r="D1096" t="s">
        <v>160</v>
      </c>
      <c r="F1096" t="s">
        <v>145</v>
      </c>
    </row>
    <row r="1097" spans="1:6">
      <c r="A1097" t="s">
        <v>95</v>
      </c>
      <c r="B1097" t="s">
        <v>158</v>
      </c>
      <c r="C1097" t="s">
        <v>887</v>
      </c>
      <c r="D1097" t="s">
        <v>836</v>
      </c>
      <c r="F1097" t="s">
        <v>337</v>
      </c>
    </row>
    <row r="1098" spans="1:6">
      <c r="A1098" t="s">
        <v>929</v>
      </c>
      <c r="B1098" t="s">
        <v>856</v>
      </c>
      <c r="C1098" t="s">
        <v>908</v>
      </c>
      <c r="D1098" t="s">
        <v>164</v>
      </c>
      <c r="F1098" t="s">
        <v>145</v>
      </c>
    </row>
    <row r="1099" spans="1:6">
      <c r="A1099" t="s">
        <v>929</v>
      </c>
      <c r="B1099" t="s">
        <v>856</v>
      </c>
      <c r="C1099" t="s">
        <v>930</v>
      </c>
      <c r="D1099" t="s">
        <v>144</v>
      </c>
      <c r="F1099" t="s">
        <v>145</v>
      </c>
    </row>
    <row r="1100" spans="1:6">
      <c r="A1100" t="s">
        <v>929</v>
      </c>
      <c r="B1100" t="s">
        <v>856</v>
      </c>
      <c r="C1100" t="s">
        <v>931</v>
      </c>
      <c r="D1100" t="s">
        <v>144</v>
      </c>
      <c r="F1100" t="s">
        <v>145</v>
      </c>
    </row>
    <row r="1101" spans="1:6">
      <c r="A1101" t="s">
        <v>929</v>
      </c>
      <c r="B1101" t="s">
        <v>856</v>
      </c>
      <c r="C1101" t="s">
        <v>932</v>
      </c>
      <c r="D1101" t="s">
        <v>144</v>
      </c>
      <c r="F1101" t="s">
        <v>145</v>
      </c>
    </row>
    <row r="1102" spans="1:6">
      <c r="A1102" t="s">
        <v>929</v>
      </c>
      <c r="B1102" t="s">
        <v>856</v>
      </c>
      <c r="C1102" t="s">
        <v>933</v>
      </c>
      <c r="D1102" t="s">
        <v>144</v>
      </c>
      <c r="F1102" t="s">
        <v>145</v>
      </c>
    </row>
    <row r="1103" spans="1:6">
      <c r="A1103" t="s">
        <v>929</v>
      </c>
      <c r="B1103" t="s">
        <v>384</v>
      </c>
      <c r="C1103" t="s">
        <v>913</v>
      </c>
      <c r="D1103" t="s">
        <v>164</v>
      </c>
      <c r="F1103" t="s">
        <v>145</v>
      </c>
    </row>
    <row r="1104" spans="1:6">
      <c r="A1104" t="s">
        <v>929</v>
      </c>
      <c r="B1104" t="s">
        <v>384</v>
      </c>
      <c r="C1104" t="s">
        <v>934</v>
      </c>
      <c r="D1104" t="s">
        <v>144</v>
      </c>
      <c r="F1104" t="s">
        <v>145</v>
      </c>
    </row>
    <row r="1105" spans="1:6">
      <c r="A1105" t="s">
        <v>929</v>
      </c>
      <c r="B1105" t="s">
        <v>384</v>
      </c>
      <c r="C1105" t="s">
        <v>935</v>
      </c>
      <c r="D1105" t="s">
        <v>144</v>
      </c>
      <c r="F1105" t="s">
        <v>145</v>
      </c>
    </row>
    <row r="1106" spans="1:6">
      <c r="A1106" t="s">
        <v>929</v>
      </c>
      <c r="B1106" t="s">
        <v>384</v>
      </c>
      <c r="C1106" t="s">
        <v>936</v>
      </c>
      <c r="D1106" t="s">
        <v>144</v>
      </c>
      <c r="F1106" t="s">
        <v>145</v>
      </c>
    </row>
    <row r="1107" spans="1:6">
      <c r="A1107" t="s">
        <v>929</v>
      </c>
      <c r="B1107" t="s">
        <v>384</v>
      </c>
      <c r="C1107" t="s">
        <v>937</v>
      </c>
      <c r="D1107" t="s">
        <v>144</v>
      </c>
      <c r="F1107" t="s">
        <v>145</v>
      </c>
    </row>
    <row r="1108" spans="1:6">
      <c r="A1108" t="s">
        <v>929</v>
      </c>
      <c r="B1108" t="s">
        <v>384</v>
      </c>
      <c r="C1108" t="s">
        <v>938</v>
      </c>
      <c r="D1108" t="s">
        <v>144</v>
      </c>
      <c r="F1108" t="s">
        <v>145</v>
      </c>
    </row>
    <row r="1109" spans="1:6">
      <c r="A1109" t="s">
        <v>929</v>
      </c>
      <c r="B1109" t="s">
        <v>647</v>
      </c>
      <c r="C1109" t="s">
        <v>910</v>
      </c>
      <c r="D1109" t="s">
        <v>164</v>
      </c>
      <c r="F1109" t="s">
        <v>647</v>
      </c>
    </row>
    <row r="1110" spans="1:6">
      <c r="A1110" t="s">
        <v>929</v>
      </c>
      <c r="B1110" t="s">
        <v>647</v>
      </c>
      <c r="C1110" t="s">
        <v>939</v>
      </c>
      <c r="D1110" t="s">
        <v>144</v>
      </c>
      <c r="F1110" t="s">
        <v>647</v>
      </c>
    </row>
    <row r="1111" spans="1:6">
      <c r="A1111" t="s">
        <v>929</v>
      </c>
      <c r="B1111" t="s">
        <v>647</v>
      </c>
      <c r="C1111" t="s">
        <v>940</v>
      </c>
      <c r="D1111" t="s">
        <v>144</v>
      </c>
      <c r="F1111" t="s">
        <v>647</v>
      </c>
    </row>
    <row r="1112" spans="1:6">
      <c r="A1112" t="s">
        <v>929</v>
      </c>
      <c r="B1112" t="s">
        <v>647</v>
      </c>
      <c r="C1112" t="s">
        <v>941</v>
      </c>
      <c r="D1112" t="s">
        <v>144</v>
      </c>
      <c r="F1112" t="s">
        <v>647</v>
      </c>
    </row>
    <row r="1113" spans="1:6">
      <c r="A1113" t="s">
        <v>929</v>
      </c>
      <c r="B1113" t="s">
        <v>647</v>
      </c>
      <c r="C1113" t="s">
        <v>942</v>
      </c>
      <c r="D1113" t="s">
        <v>144</v>
      </c>
      <c r="F1113" t="s">
        <v>647</v>
      </c>
    </row>
    <row r="1114" spans="1:6">
      <c r="A1114" t="s">
        <v>929</v>
      </c>
      <c r="B1114" t="s">
        <v>535</v>
      </c>
      <c r="C1114" t="s">
        <v>916</v>
      </c>
      <c r="D1114" t="s">
        <v>164</v>
      </c>
      <c r="F1114" t="s">
        <v>145</v>
      </c>
    </row>
    <row r="1115" spans="1:6">
      <c r="A1115" t="s">
        <v>929</v>
      </c>
      <c r="B1115" t="s">
        <v>535</v>
      </c>
      <c r="C1115" t="s">
        <v>943</v>
      </c>
      <c r="D1115" t="s">
        <v>144</v>
      </c>
      <c r="F1115" t="s">
        <v>145</v>
      </c>
    </row>
    <row r="1116" spans="1:6">
      <c r="A1116" t="s">
        <v>929</v>
      </c>
      <c r="B1116" t="s">
        <v>535</v>
      </c>
      <c r="C1116" t="s">
        <v>944</v>
      </c>
      <c r="D1116" t="s">
        <v>144</v>
      </c>
      <c r="F1116" t="s">
        <v>145</v>
      </c>
    </row>
    <row r="1117" spans="1:6">
      <c r="A1117" t="s">
        <v>929</v>
      </c>
      <c r="B1117" t="s">
        <v>535</v>
      </c>
      <c r="C1117" t="s">
        <v>945</v>
      </c>
      <c r="D1117" t="s">
        <v>144</v>
      </c>
      <c r="F1117" t="s">
        <v>145</v>
      </c>
    </row>
    <row r="1118" spans="1:6">
      <c r="A1118" t="s">
        <v>929</v>
      </c>
      <c r="B1118" t="s">
        <v>542</v>
      </c>
      <c r="C1118" t="s">
        <v>921</v>
      </c>
      <c r="D1118" t="s">
        <v>164</v>
      </c>
      <c r="F1118" t="s">
        <v>145</v>
      </c>
    </row>
    <row r="1119" spans="1:6">
      <c r="A1119" t="s">
        <v>929</v>
      </c>
      <c r="B1119" t="s">
        <v>542</v>
      </c>
      <c r="C1119" t="s">
        <v>946</v>
      </c>
      <c r="D1119" t="s">
        <v>144</v>
      </c>
      <c r="F1119" t="s">
        <v>145</v>
      </c>
    </row>
    <row r="1120" spans="1:6">
      <c r="A1120" t="s">
        <v>929</v>
      </c>
      <c r="B1120" t="s">
        <v>542</v>
      </c>
      <c r="C1120" t="s">
        <v>947</v>
      </c>
      <c r="D1120" t="s">
        <v>144</v>
      </c>
      <c r="F1120" t="s">
        <v>145</v>
      </c>
    </row>
    <row r="1121" spans="1:6">
      <c r="A1121" t="s">
        <v>929</v>
      </c>
      <c r="B1121" t="s">
        <v>542</v>
      </c>
      <c r="C1121" t="s">
        <v>948</v>
      </c>
      <c r="D1121" t="s">
        <v>144</v>
      </c>
      <c r="F1121" t="s">
        <v>145</v>
      </c>
    </row>
    <row r="1122" spans="1:6">
      <c r="A1122" t="s">
        <v>929</v>
      </c>
      <c r="B1122" t="s">
        <v>542</v>
      </c>
      <c r="C1122" t="s">
        <v>949</v>
      </c>
      <c r="D1122" t="s">
        <v>144</v>
      </c>
      <c r="F1122" t="s">
        <v>145</v>
      </c>
    </row>
    <row r="1123" spans="1:6">
      <c r="A1123" t="s">
        <v>929</v>
      </c>
      <c r="B1123" t="s">
        <v>525</v>
      </c>
      <c r="C1123" t="s">
        <v>904</v>
      </c>
      <c r="D1123" t="s">
        <v>164</v>
      </c>
      <c r="F1123" t="s">
        <v>145</v>
      </c>
    </row>
    <row r="1124" spans="1:6">
      <c r="A1124" t="s">
        <v>929</v>
      </c>
      <c r="B1124" t="s">
        <v>525</v>
      </c>
      <c r="C1124" t="s">
        <v>950</v>
      </c>
      <c r="D1124" t="s">
        <v>144</v>
      </c>
      <c r="F1124" t="s">
        <v>145</v>
      </c>
    </row>
    <row r="1125" spans="1:6">
      <c r="A1125" t="s">
        <v>929</v>
      </c>
      <c r="B1125" t="s">
        <v>525</v>
      </c>
      <c r="C1125" t="s">
        <v>951</v>
      </c>
      <c r="D1125" t="s">
        <v>144</v>
      </c>
      <c r="F1125" t="s">
        <v>145</v>
      </c>
    </row>
    <row r="1126" spans="1:6">
      <c r="A1126" t="s">
        <v>929</v>
      </c>
      <c r="B1126" t="s">
        <v>525</v>
      </c>
      <c r="C1126" t="s">
        <v>952</v>
      </c>
      <c r="D1126" t="s">
        <v>144</v>
      </c>
      <c r="F1126" t="s">
        <v>145</v>
      </c>
    </row>
    <row r="1127" spans="1:6">
      <c r="A1127" t="s">
        <v>929</v>
      </c>
      <c r="B1127" t="s">
        <v>525</v>
      </c>
      <c r="C1127" t="s">
        <v>953</v>
      </c>
      <c r="D1127" t="s">
        <v>144</v>
      </c>
      <c r="F1127" t="s">
        <v>145</v>
      </c>
    </row>
    <row r="1128" spans="1:6">
      <c r="A1128" t="s">
        <v>929</v>
      </c>
      <c r="B1128" t="s">
        <v>924</v>
      </c>
      <c r="C1128" t="s">
        <v>954</v>
      </c>
      <c r="D1128" t="s">
        <v>144</v>
      </c>
      <c r="F1128" t="s">
        <v>145</v>
      </c>
    </row>
    <row r="1129" spans="1:6">
      <c r="A1129" t="s">
        <v>929</v>
      </c>
      <c r="B1129" t="s">
        <v>924</v>
      </c>
      <c r="C1129" t="s">
        <v>955</v>
      </c>
      <c r="D1129" t="s">
        <v>144</v>
      </c>
      <c r="F1129" t="s">
        <v>145</v>
      </c>
    </row>
    <row r="1130" spans="1:6">
      <c r="A1130" t="s">
        <v>929</v>
      </c>
      <c r="B1130" t="s">
        <v>924</v>
      </c>
      <c r="C1130" t="s">
        <v>925</v>
      </c>
      <c r="D1130" t="s">
        <v>144</v>
      </c>
      <c r="F1130" t="s">
        <v>145</v>
      </c>
    </row>
    <row r="1131" spans="1:6">
      <c r="A1131" t="s">
        <v>929</v>
      </c>
      <c r="B1131" t="s">
        <v>924</v>
      </c>
      <c r="C1131" t="s">
        <v>956</v>
      </c>
      <c r="D1131" t="s">
        <v>144</v>
      </c>
      <c r="F1131" t="s">
        <v>145</v>
      </c>
    </row>
    <row r="1132" spans="1:6">
      <c r="A1132" t="s">
        <v>929</v>
      </c>
      <c r="B1132" t="s">
        <v>924</v>
      </c>
      <c r="C1132" t="s">
        <v>900</v>
      </c>
      <c r="D1132" t="s">
        <v>144</v>
      </c>
      <c r="F1132" t="s">
        <v>145</v>
      </c>
    </row>
    <row r="1133" spans="1:6">
      <c r="A1133" t="s">
        <v>929</v>
      </c>
      <c r="B1133" t="s">
        <v>924</v>
      </c>
      <c r="C1133" t="s">
        <v>896</v>
      </c>
      <c r="D1133" t="s">
        <v>144</v>
      </c>
      <c r="F1133" t="s">
        <v>145</v>
      </c>
    </row>
    <row r="1134" spans="1:6">
      <c r="A1134" t="s">
        <v>929</v>
      </c>
      <c r="B1134" t="s">
        <v>924</v>
      </c>
      <c r="C1134" t="s">
        <v>957</v>
      </c>
      <c r="D1134" t="s">
        <v>144</v>
      </c>
      <c r="F1134" t="s">
        <v>145</v>
      </c>
    </row>
    <row r="1135" spans="1:6">
      <c r="A1135" t="s">
        <v>929</v>
      </c>
      <c r="B1135" t="s">
        <v>158</v>
      </c>
      <c r="C1135" t="s">
        <v>873</v>
      </c>
      <c r="D1135" t="s">
        <v>217</v>
      </c>
      <c r="F1135" t="s">
        <v>145</v>
      </c>
    </row>
    <row r="1136" spans="1:6">
      <c r="A1136" t="s">
        <v>929</v>
      </c>
      <c r="B1136" t="s">
        <v>158</v>
      </c>
      <c r="C1136" t="s">
        <v>928</v>
      </c>
      <c r="D1136" t="s">
        <v>217</v>
      </c>
      <c r="F1136" t="s">
        <v>145</v>
      </c>
    </row>
    <row r="1137" spans="1:6">
      <c r="A1137" t="s">
        <v>929</v>
      </c>
      <c r="B1137" t="s">
        <v>158</v>
      </c>
      <c r="C1137" t="s">
        <v>898</v>
      </c>
      <c r="D1137" t="s">
        <v>217</v>
      </c>
      <c r="F1137" t="s">
        <v>145</v>
      </c>
    </row>
    <row r="1138" spans="1:6">
      <c r="A1138" t="s">
        <v>929</v>
      </c>
      <c r="B1138" t="s">
        <v>158</v>
      </c>
      <c r="C1138" t="s">
        <v>69</v>
      </c>
      <c r="D1138" t="s">
        <v>219</v>
      </c>
      <c r="F1138" t="s">
        <v>145</v>
      </c>
    </row>
    <row r="1139" spans="1:6">
      <c r="A1139" t="s">
        <v>929</v>
      </c>
      <c r="B1139" t="s">
        <v>158</v>
      </c>
      <c r="C1139" t="s">
        <v>257</v>
      </c>
      <c r="D1139" t="s">
        <v>160</v>
      </c>
      <c r="F1139" t="s">
        <v>145</v>
      </c>
    </row>
    <row r="1140" spans="1:6">
      <c r="A1140" t="s">
        <v>929</v>
      </c>
      <c r="B1140" t="s">
        <v>158</v>
      </c>
      <c r="C1140" t="s">
        <v>887</v>
      </c>
      <c r="D1140" t="s">
        <v>836</v>
      </c>
      <c r="F1140" t="s">
        <v>337</v>
      </c>
    </row>
    <row r="1141" spans="1:6">
      <c r="A1141" t="s">
        <v>106</v>
      </c>
      <c r="B1141" t="s">
        <v>10</v>
      </c>
      <c r="C1141" t="s">
        <v>112</v>
      </c>
      <c r="D1141" t="s">
        <v>164</v>
      </c>
      <c r="F1141" t="s">
        <v>145</v>
      </c>
    </row>
    <row r="1142" spans="1:6">
      <c r="A1142" t="s">
        <v>106</v>
      </c>
      <c r="B1142" t="s">
        <v>10</v>
      </c>
      <c r="C1142" t="s">
        <v>108</v>
      </c>
      <c r="D1142" t="s">
        <v>144</v>
      </c>
      <c r="F1142" t="s">
        <v>145</v>
      </c>
    </row>
    <row r="1143" spans="1:6">
      <c r="A1143" t="s">
        <v>106</v>
      </c>
      <c r="B1143" t="s">
        <v>10</v>
      </c>
      <c r="C1143" t="s">
        <v>109</v>
      </c>
      <c r="D1143" t="s">
        <v>144</v>
      </c>
      <c r="F1143" t="s">
        <v>145</v>
      </c>
    </row>
    <row r="1144" spans="1:6">
      <c r="A1144" t="s">
        <v>106</v>
      </c>
      <c r="B1144" t="s">
        <v>10</v>
      </c>
      <c r="C1144" t="s">
        <v>110</v>
      </c>
      <c r="D1144" t="s">
        <v>144</v>
      </c>
      <c r="F1144" t="s">
        <v>145</v>
      </c>
    </row>
    <row r="1145" spans="1:6">
      <c r="A1145" t="s">
        <v>106</v>
      </c>
      <c r="B1145" t="s">
        <v>10</v>
      </c>
      <c r="C1145" t="s">
        <v>107</v>
      </c>
      <c r="D1145" t="s">
        <v>144</v>
      </c>
      <c r="F1145" t="s">
        <v>145</v>
      </c>
    </row>
    <row r="1146" spans="1:6">
      <c r="A1146" t="s">
        <v>106</v>
      </c>
      <c r="B1146" t="s">
        <v>10</v>
      </c>
      <c r="C1146" t="s">
        <v>111</v>
      </c>
      <c r="D1146" t="s">
        <v>144</v>
      </c>
      <c r="F1146" t="s">
        <v>145</v>
      </c>
    </row>
    <row r="1147" spans="1:6">
      <c r="A1147" t="s">
        <v>106</v>
      </c>
      <c r="B1147" t="s">
        <v>856</v>
      </c>
      <c r="C1147" t="s">
        <v>958</v>
      </c>
      <c r="D1147" t="s">
        <v>164</v>
      </c>
      <c r="F1147" t="s">
        <v>145</v>
      </c>
    </row>
    <row r="1148" spans="1:6">
      <c r="A1148" t="s">
        <v>106</v>
      </c>
      <c r="B1148" t="s">
        <v>856</v>
      </c>
      <c r="C1148" t="s">
        <v>959</v>
      </c>
      <c r="D1148" t="s">
        <v>144</v>
      </c>
      <c r="F1148" t="s">
        <v>145</v>
      </c>
    </row>
    <row r="1149" spans="1:6">
      <c r="A1149" t="s">
        <v>106</v>
      </c>
      <c r="B1149" t="s">
        <v>856</v>
      </c>
      <c r="C1149" t="s">
        <v>960</v>
      </c>
      <c r="D1149" t="s">
        <v>144</v>
      </c>
      <c r="F1149" t="s">
        <v>145</v>
      </c>
    </row>
    <row r="1150" spans="1:6">
      <c r="A1150" t="s">
        <v>106</v>
      </c>
      <c r="B1150" t="s">
        <v>856</v>
      </c>
      <c r="C1150" t="s">
        <v>961</v>
      </c>
      <c r="D1150" t="s">
        <v>144</v>
      </c>
      <c r="F1150" t="s">
        <v>145</v>
      </c>
    </row>
    <row r="1151" spans="1:6">
      <c r="A1151" t="s">
        <v>106</v>
      </c>
      <c r="B1151" t="s">
        <v>856</v>
      </c>
      <c r="C1151" t="s">
        <v>962</v>
      </c>
      <c r="D1151" t="s">
        <v>144</v>
      </c>
      <c r="F1151" t="s">
        <v>145</v>
      </c>
    </row>
    <row r="1152" spans="1:6">
      <c r="A1152" t="s">
        <v>106</v>
      </c>
      <c r="B1152" t="s">
        <v>384</v>
      </c>
      <c r="C1152" t="s">
        <v>936</v>
      </c>
      <c r="D1152" t="s">
        <v>164</v>
      </c>
      <c r="F1152" t="s">
        <v>145</v>
      </c>
    </row>
    <row r="1153" spans="1:6">
      <c r="A1153" t="s">
        <v>106</v>
      </c>
      <c r="B1153" t="s">
        <v>384</v>
      </c>
      <c r="C1153" t="s">
        <v>963</v>
      </c>
      <c r="D1153" t="s">
        <v>144</v>
      </c>
      <c r="F1153" t="s">
        <v>145</v>
      </c>
    </row>
    <row r="1154" spans="1:6">
      <c r="A1154" t="s">
        <v>106</v>
      </c>
      <c r="B1154" t="s">
        <v>384</v>
      </c>
      <c r="C1154" t="s">
        <v>964</v>
      </c>
      <c r="D1154" t="s">
        <v>144</v>
      </c>
      <c r="F1154" t="s">
        <v>145</v>
      </c>
    </row>
    <row r="1155" spans="1:6">
      <c r="A1155" t="s">
        <v>106</v>
      </c>
      <c r="B1155" t="s">
        <v>384</v>
      </c>
      <c r="C1155" t="s">
        <v>957</v>
      </c>
      <c r="D1155" t="s">
        <v>144</v>
      </c>
      <c r="F1155" t="s">
        <v>145</v>
      </c>
    </row>
    <row r="1156" spans="1:6">
      <c r="A1156" t="s">
        <v>106</v>
      </c>
      <c r="B1156" t="s">
        <v>384</v>
      </c>
      <c r="C1156" t="s">
        <v>965</v>
      </c>
      <c r="D1156" t="s">
        <v>144</v>
      </c>
      <c r="F1156" t="s">
        <v>145</v>
      </c>
    </row>
    <row r="1157" spans="1:6">
      <c r="A1157" t="s">
        <v>106</v>
      </c>
      <c r="B1157" t="s">
        <v>647</v>
      </c>
      <c r="C1157" t="s">
        <v>942</v>
      </c>
      <c r="D1157" t="s">
        <v>164</v>
      </c>
      <c r="F1157" t="s">
        <v>647</v>
      </c>
    </row>
    <row r="1158" spans="1:6">
      <c r="A1158" t="s">
        <v>106</v>
      </c>
      <c r="B1158" t="s">
        <v>647</v>
      </c>
      <c r="C1158" t="s">
        <v>966</v>
      </c>
      <c r="D1158" t="s">
        <v>144</v>
      </c>
      <c r="F1158" t="s">
        <v>647</v>
      </c>
    </row>
    <row r="1159" spans="1:6">
      <c r="A1159" t="s">
        <v>106</v>
      </c>
      <c r="B1159" t="s">
        <v>647</v>
      </c>
      <c r="C1159" t="s">
        <v>954</v>
      </c>
      <c r="D1159" t="s">
        <v>144</v>
      </c>
      <c r="F1159" t="s">
        <v>647</v>
      </c>
    </row>
    <row r="1160" spans="1:6">
      <c r="A1160" t="s">
        <v>106</v>
      </c>
      <c r="B1160" t="s">
        <v>647</v>
      </c>
      <c r="C1160" t="s">
        <v>967</v>
      </c>
      <c r="D1160" t="s">
        <v>144</v>
      </c>
      <c r="F1160" t="s">
        <v>647</v>
      </c>
    </row>
    <row r="1161" spans="1:6">
      <c r="A1161" t="s">
        <v>106</v>
      </c>
      <c r="B1161" t="s">
        <v>647</v>
      </c>
      <c r="C1161" t="s">
        <v>968</v>
      </c>
      <c r="D1161" t="s">
        <v>144</v>
      </c>
      <c r="F1161" t="s">
        <v>647</v>
      </c>
    </row>
    <row r="1162" spans="1:6">
      <c r="A1162" t="s">
        <v>106</v>
      </c>
      <c r="B1162" t="s">
        <v>535</v>
      </c>
      <c r="C1162" t="s">
        <v>945</v>
      </c>
      <c r="D1162" t="s">
        <v>164</v>
      </c>
      <c r="F1162" t="s">
        <v>145</v>
      </c>
    </row>
    <row r="1163" spans="1:6">
      <c r="A1163" t="s">
        <v>106</v>
      </c>
      <c r="B1163" t="s">
        <v>535</v>
      </c>
      <c r="C1163" t="s">
        <v>969</v>
      </c>
      <c r="D1163" t="s">
        <v>144</v>
      </c>
      <c r="F1163" t="s">
        <v>145</v>
      </c>
    </row>
    <row r="1164" spans="1:6">
      <c r="A1164" t="s">
        <v>106</v>
      </c>
      <c r="B1164" t="s">
        <v>535</v>
      </c>
      <c r="C1164" t="s">
        <v>970</v>
      </c>
      <c r="D1164" t="s">
        <v>144</v>
      </c>
      <c r="F1164" t="s">
        <v>145</v>
      </c>
    </row>
    <row r="1165" spans="1:6">
      <c r="A1165" t="s">
        <v>106</v>
      </c>
      <c r="B1165" t="s">
        <v>535</v>
      </c>
      <c r="C1165" t="s">
        <v>971</v>
      </c>
      <c r="D1165" t="s">
        <v>144</v>
      </c>
      <c r="F1165" t="s">
        <v>145</v>
      </c>
    </row>
    <row r="1166" spans="1:6">
      <c r="A1166" t="s">
        <v>106</v>
      </c>
      <c r="B1166" t="s">
        <v>542</v>
      </c>
      <c r="C1166" t="s">
        <v>946</v>
      </c>
      <c r="D1166" t="s">
        <v>164</v>
      </c>
      <c r="F1166" t="s">
        <v>145</v>
      </c>
    </row>
    <row r="1167" spans="1:6">
      <c r="A1167" t="s">
        <v>106</v>
      </c>
      <c r="B1167" t="s">
        <v>542</v>
      </c>
      <c r="C1167" t="s">
        <v>972</v>
      </c>
      <c r="D1167" t="s">
        <v>144</v>
      </c>
      <c r="F1167" t="s">
        <v>145</v>
      </c>
    </row>
    <row r="1168" spans="1:6">
      <c r="A1168" t="s">
        <v>106</v>
      </c>
      <c r="B1168" t="s">
        <v>542</v>
      </c>
      <c r="C1168" t="s">
        <v>973</v>
      </c>
      <c r="D1168" t="s">
        <v>144</v>
      </c>
      <c r="F1168" t="s">
        <v>145</v>
      </c>
    </row>
    <row r="1169" spans="1:6">
      <c r="A1169" t="s">
        <v>106</v>
      </c>
      <c r="B1169" t="s">
        <v>542</v>
      </c>
      <c r="C1169" t="s">
        <v>974</v>
      </c>
      <c r="D1169" t="s">
        <v>144</v>
      </c>
      <c r="F1169" t="s">
        <v>145</v>
      </c>
    </row>
    <row r="1170" spans="1:6">
      <c r="A1170" t="s">
        <v>106</v>
      </c>
      <c r="B1170" t="s">
        <v>542</v>
      </c>
      <c r="C1170" t="s">
        <v>975</v>
      </c>
      <c r="D1170" t="s">
        <v>144</v>
      </c>
      <c r="F1170" t="s">
        <v>145</v>
      </c>
    </row>
    <row r="1171" spans="1:6">
      <c r="A1171" t="s">
        <v>106</v>
      </c>
      <c r="B1171" t="s">
        <v>542</v>
      </c>
      <c r="C1171" t="s">
        <v>976</v>
      </c>
      <c r="D1171" t="s">
        <v>144</v>
      </c>
      <c r="F1171" t="s">
        <v>145</v>
      </c>
    </row>
    <row r="1172" spans="1:6">
      <c r="A1172" t="s">
        <v>106</v>
      </c>
      <c r="B1172" t="s">
        <v>924</v>
      </c>
      <c r="C1172" t="s">
        <v>910</v>
      </c>
      <c r="D1172" t="s">
        <v>144</v>
      </c>
      <c r="F1172" t="s">
        <v>145</v>
      </c>
    </row>
    <row r="1173" spans="1:6">
      <c r="A1173" t="s">
        <v>106</v>
      </c>
      <c r="B1173" t="s">
        <v>924</v>
      </c>
      <c r="C1173" t="s">
        <v>934</v>
      </c>
      <c r="D1173" t="s">
        <v>144</v>
      </c>
      <c r="F1173" t="s">
        <v>145</v>
      </c>
    </row>
    <row r="1174" spans="1:6">
      <c r="A1174" t="s">
        <v>106</v>
      </c>
      <c r="B1174" t="s">
        <v>924</v>
      </c>
      <c r="C1174" t="s">
        <v>977</v>
      </c>
      <c r="D1174" t="s">
        <v>144</v>
      </c>
      <c r="F1174" t="s">
        <v>145</v>
      </c>
    </row>
    <row r="1175" spans="1:6">
      <c r="A1175" t="s">
        <v>106</v>
      </c>
      <c r="B1175" t="s">
        <v>924</v>
      </c>
      <c r="C1175" t="s">
        <v>978</v>
      </c>
      <c r="D1175" t="s">
        <v>144</v>
      </c>
      <c r="F1175" t="s">
        <v>145</v>
      </c>
    </row>
    <row r="1176" spans="1:6">
      <c r="A1176" t="s">
        <v>106</v>
      </c>
      <c r="B1176" t="s">
        <v>924</v>
      </c>
      <c r="C1176" t="s">
        <v>902</v>
      </c>
      <c r="D1176" t="s">
        <v>144</v>
      </c>
      <c r="F1176" t="s">
        <v>145</v>
      </c>
    </row>
    <row r="1177" spans="1:6">
      <c r="A1177" t="s">
        <v>106</v>
      </c>
      <c r="B1177" t="s">
        <v>924</v>
      </c>
      <c r="C1177" t="s">
        <v>979</v>
      </c>
      <c r="D1177" t="s">
        <v>144</v>
      </c>
      <c r="F1177" t="s">
        <v>145</v>
      </c>
    </row>
    <row r="1178" spans="1:6">
      <c r="A1178" t="s">
        <v>106</v>
      </c>
      <c r="B1178" t="s">
        <v>158</v>
      </c>
      <c r="C1178" t="s">
        <v>900</v>
      </c>
      <c r="D1178" t="s">
        <v>217</v>
      </c>
      <c r="F1178" t="s">
        <v>145</v>
      </c>
    </row>
    <row r="1179" spans="1:6">
      <c r="A1179" t="s">
        <v>106</v>
      </c>
      <c r="B1179" t="s">
        <v>158</v>
      </c>
      <c r="C1179" t="s">
        <v>99</v>
      </c>
      <c r="D1179" t="s">
        <v>217</v>
      </c>
      <c r="F1179" t="s">
        <v>145</v>
      </c>
    </row>
    <row r="1180" spans="1:6">
      <c r="A1180" t="s">
        <v>106</v>
      </c>
      <c r="B1180" t="s">
        <v>158</v>
      </c>
      <c r="C1180" t="s">
        <v>873</v>
      </c>
      <c r="D1180" t="s">
        <v>217</v>
      </c>
      <c r="F1180" t="s">
        <v>145</v>
      </c>
    </row>
    <row r="1181" spans="1:6">
      <c r="A1181" t="s">
        <v>106</v>
      </c>
      <c r="B1181" t="s">
        <v>158</v>
      </c>
      <c r="C1181" t="s">
        <v>980</v>
      </c>
      <c r="D1181" t="s">
        <v>217</v>
      </c>
      <c r="F1181" t="s">
        <v>647</v>
      </c>
    </row>
    <row r="1182" spans="1:6">
      <c r="A1182" t="s">
        <v>106</v>
      </c>
      <c r="B1182" t="s">
        <v>158</v>
      </c>
      <c r="C1182" t="s">
        <v>69</v>
      </c>
      <c r="D1182" t="s">
        <v>219</v>
      </c>
      <c r="F1182" t="s">
        <v>145</v>
      </c>
    </row>
    <row r="1183" spans="1:6">
      <c r="A1183" t="s">
        <v>106</v>
      </c>
      <c r="B1183" t="s">
        <v>158</v>
      </c>
      <c r="C1183" t="s">
        <v>257</v>
      </c>
      <c r="D1183" t="s">
        <v>160</v>
      </c>
      <c r="F1183" t="s">
        <v>145</v>
      </c>
    </row>
    <row r="1184" spans="1:6">
      <c r="A1184" t="s">
        <v>106</v>
      </c>
      <c r="B1184" t="s">
        <v>158</v>
      </c>
      <c r="C1184" t="s">
        <v>887</v>
      </c>
      <c r="D1184" t="s">
        <v>836</v>
      </c>
      <c r="F1184" t="s">
        <v>337</v>
      </c>
    </row>
    <row r="1185" spans="1:6">
      <c r="A1185" t="s">
        <v>120</v>
      </c>
      <c r="B1185" t="s">
        <v>542</v>
      </c>
      <c r="C1185" t="s">
        <v>947</v>
      </c>
      <c r="D1185" t="s">
        <v>164</v>
      </c>
      <c r="E1185" t="s">
        <v>981</v>
      </c>
      <c r="F1185" t="s">
        <v>145</v>
      </c>
    </row>
    <row r="1186" spans="1:6">
      <c r="A1186" t="s">
        <v>120</v>
      </c>
      <c r="B1186" t="s">
        <v>542</v>
      </c>
      <c r="C1186" t="s">
        <v>982</v>
      </c>
      <c r="D1186" t="s">
        <v>144</v>
      </c>
      <c r="E1186" t="s">
        <v>981</v>
      </c>
      <c r="F1186" t="s">
        <v>145</v>
      </c>
    </row>
    <row r="1187" spans="1:6">
      <c r="A1187" t="s">
        <v>120</v>
      </c>
      <c r="B1187" t="s">
        <v>542</v>
      </c>
      <c r="C1187" t="s">
        <v>983</v>
      </c>
      <c r="D1187" t="s">
        <v>144</v>
      </c>
      <c r="E1187" t="s">
        <v>981</v>
      </c>
      <c r="F1187" t="s">
        <v>145</v>
      </c>
    </row>
    <row r="1188" spans="1:6">
      <c r="A1188" t="s">
        <v>120</v>
      </c>
      <c r="B1188" t="s">
        <v>542</v>
      </c>
      <c r="C1188" t="s">
        <v>984</v>
      </c>
      <c r="D1188" t="s">
        <v>144</v>
      </c>
      <c r="E1188" t="s">
        <v>981</v>
      </c>
      <c r="F1188" t="s">
        <v>145</v>
      </c>
    </row>
    <row r="1189" spans="1:6">
      <c r="A1189" t="s">
        <v>120</v>
      </c>
      <c r="B1189" t="s">
        <v>542</v>
      </c>
      <c r="C1189" t="s">
        <v>985</v>
      </c>
      <c r="D1189" t="s">
        <v>144</v>
      </c>
      <c r="E1189" t="s">
        <v>981</v>
      </c>
      <c r="F1189" t="s">
        <v>145</v>
      </c>
    </row>
    <row r="1190" spans="1:6">
      <c r="A1190" t="s">
        <v>120</v>
      </c>
      <c r="B1190" t="s">
        <v>542</v>
      </c>
      <c r="C1190" t="s">
        <v>986</v>
      </c>
      <c r="D1190" t="s">
        <v>144</v>
      </c>
      <c r="E1190" t="s">
        <v>981</v>
      </c>
      <c r="F1190" t="s">
        <v>145</v>
      </c>
    </row>
    <row r="1191" spans="1:6">
      <c r="A1191" t="s">
        <v>120</v>
      </c>
      <c r="B1191" t="s">
        <v>535</v>
      </c>
      <c r="C1191" t="s">
        <v>987</v>
      </c>
      <c r="D1191" t="s">
        <v>164</v>
      </c>
      <c r="E1191" t="s">
        <v>981</v>
      </c>
      <c r="F1191" t="s">
        <v>145</v>
      </c>
    </row>
    <row r="1192" spans="1:6">
      <c r="A1192" t="s">
        <v>120</v>
      </c>
      <c r="B1192" t="s">
        <v>535</v>
      </c>
      <c r="C1192" t="s">
        <v>988</v>
      </c>
      <c r="D1192" t="s">
        <v>144</v>
      </c>
      <c r="E1192" t="s">
        <v>981</v>
      </c>
      <c r="F1192" t="s">
        <v>145</v>
      </c>
    </row>
    <row r="1193" spans="1:6">
      <c r="A1193" t="s">
        <v>120</v>
      </c>
      <c r="B1193" t="s">
        <v>535</v>
      </c>
      <c r="C1193" t="s">
        <v>989</v>
      </c>
      <c r="D1193" t="s">
        <v>144</v>
      </c>
      <c r="E1193" t="s">
        <v>981</v>
      </c>
      <c r="F1193" t="s">
        <v>145</v>
      </c>
    </row>
    <row r="1194" spans="1:6">
      <c r="A1194" t="s">
        <v>120</v>
      </c>
      <c r="B1194" t="s">
        <v>535</v>
      </c>
      <c r="C1194" t="s">
        <v>990</v>
      </c>
      <c r="D1194" t="s">
        <v>144</v>
      </c>
      <c r="E1194" t="s">
        <v>981</v>
      </c>
      <c r="F1194" t="s">
        <v>145</v>
      </c>
    </row>
    <row r="1195" spans="1:6">
      <c r="A1195" t="s">
        <v>120</v>
      </c>
      <c r="B1195" t="s">
        <v>535</v>
      </c>
      <c r="C1195" t="s">
        <v>991</v>
      </c>
      <c r="D1195" t="s">
        <v>144</v>
      </c>
      <c r="E1195" t="s">
        <v>981</v>
      </c>
      <c r="F1195" t="s">
        <v>145</v>
      </c>
    </row>
    <row r="1196" spans="1:6">
      <c r="A1196" t="s">
        <v>120</v>
      </c>
      <c r="B1196" t="s">
        <v>535</v>
      </c>
      <c r="C1196" t="s">
        <v>992</v>
      </c>
      <c r="D1196" t="s">
        <v>144</v>
      </c>
      <c r="E1196" t="s">
        <v>981</v>
      </c>
      <c r="F1196" t="s">
        <v>145</v>
      </c>
    </row>
    <row r="1197" spans="1:6">
      <c r="A1197" t="s">
        <v>120</v>
      </c>
      <c r="B1197" t="s">
        <v>384</v>
      </c>
      <c r="C1197" t="s">
        <v>964</v>
      </c>
      <c r="D1197" t="s">
        <v>164</v>
      </c>
      <c r="F1197" t="s">
        <v>145</v>
      </c>
    </row>
    <row r="1198" spans="1:6">
      <c r="A1198" t="s">
        <v>120</v>
      </c>
      <c r="B1198" t="s">
        <v>384</v>
      </c>
      <c r="C1198" t="s">
        <v>993</v>
      </c>
      <c r="D1198" t="s">
        <v>144</v>
      </c>
      <c r="E1198" t="s">
        <v>994</v>
      </c>
      <c r="F1198" t="s">
        <v>145</v>
      </c>
    </row>
    <row r="1199" spans="1:6">
      <c r="A1199" t="s">
        <v>120</v>
      </c>
      <c r="B1199" t="s">
        <v>384</v>
      </c>
      <c r="C1199" t="s">
        <v>995</v>
      </c>
      <c r="D1199" t="s">
        <v>144</v>
      </c>
      <c r="E1199" t="s">
        <v>996</v>
      </c>
      <c r="F1199" t="s">
        <v>145</v>
      </c>
    </row>
    <row r="1200" spans="1:6">
      <c r="A1200" t="s">
        <v>120</v>
      </c>
      <c r="B1200" t="s">
        <v>384</v>
      </c>
      <c r="C1200" t="s">
        <v>997</v>
      </c>
      <c r="D1200" t="s">
        <v>144</v>
      </c>
      <c r="E1200" t="s">
        <v>998</v>
      </c>
      <c r="F1200" t="s">
        <v>145</v>
      </c>
    </row>
    <row r="1201" spans="1:6">
      <c r="A1201" t="s">
        <v>120</v>
      </c>
      <c r="B1201" t="s">
        <v>384</v>
      </c>
      <c r="C1201" t="s">
        <v>999</v>
      </c>
      <c r="D1201" t="s">
        <v>144</v>
      </c>
      <c r="E1201" t="s">
        <v>1000</v>
      </c>
      <c r="F1201" t="s">
        <v>145</v>
      </c>
    </row>
    <row r="1202" spans="1:6">
      <c r="A1202" t="s">
        <v>120</v>
      </c>
      <c r="B1202" t="s">
        <v>525</v>
      </c>
      <c r="C1202" t="s">
        <v>961</v>
      </c>
      <c r="D1202" t="s">
        <v>164</v>
      </c>
      <c r="E1202" t="s">
        <v>1001</v>
      </c>
      <c r="F1202" t="s">
        <v>145</v>
      </c>
    </row>
    <row r="1203" spans="1:6">
      <c r="A1203" t="s">
        <v>120</v>
      </c>
      <c r="B1203" t="s">
        <v>525</v>
      </c>
      <c r="C1203" t="s">
        <v>1002</v>
      </c>
      <c r="D1203" t="s">
        <v>144</v>
      </c>
      <c r="E1203" t="s">
        <v>1001</v>
      </c>
      <c r="F1203" t="s">
        <v>145</v>
      </c>
    </row>
    <row r="1204" spans="1:6">
      <c r="A1204" t="s">
        <v>120</v>
      </c>
      <c r="B1204" t="s">
        <v>525</v>
      </c>
      <c r="C1204" t="s">
        <v>1003</v>
      </c>
      <c r="D1204" t="s">
        <v>144</v>
      </c>
      <c r="E1204" t="s">
        <v>1001</v>
      </c>
      <c r="F1204" t="s">
        <v>145</v>
      </c>
    </row>
    <row r="1205" spans="1:6">
      <c r="A1205" t="s">
        <v>120</v>
      </c>
      <c r="B1205" t="s">
        <v>525</v>
      </c>
      <c r="C1205" t="s">
        <v>1004</v>
      </c>
      <c r="D1205" t="s">
        <v>144</v>
      </c>
      <c r="E1205" t="s">
        <v>1001</v>
      </c>
      <c r="F1205" t="s">
        <v>145</v>
      </c>
    </row>
    <row r="1206" spans="1:6">
      <c r="A1206" t="s">
        <v>120</v>
      </c>
      <c r="B1206" t="s">
        <v>525</v>
      </c>
      <c r="C1206" t="s">
        <v>1005</v>
      </c>
      <c r="D1206" t="s">
        <v>144</v>
      </c>
      <c r="E1206" t="s">
        <v>1001</v>
      </c>
      <c r="F1206" t="s">
        <v>145</v>
      </c>
    </row>
    <row r="1207" spans="1:6">
      <c r="A1207" t="s">
        <v>120</v>
      </c>
      <c r="B1207" t="s">
        <v>10</v>
      </c>
      <c r="C1207" t="s">
        <v>109</v>
      </c>
      <c r="D1207" t="s">
        <v>164</v>
      </c>
      <c r="E1207" t="s">
        <v>1006</v>
      </c>
      <c r="F1207" t="s">
        <v>145</v>
      </c>
    </row>
    <row r="1208" spans="1:6">
      <c r="A1208" t="s">
        <v>120</v>
      </c>
      <c r="B1208" t="s">
        <v>10</v>
      </c>
      <c r="C1208" t="s">
        <v>117</v>
      </c>
      <c r="D1208" t="s">
        <v>144</v>
      </c>
      <c r="E1208" t="s">
        <v>1006</v>
      </c>
      <c r="F1208" t="s">
        <v>145</v>
      </c>
    </row>
    <row r="1209" spans="1:6">
      <c r="A1209" t="s">
        <v>120</v>
      </c>
      <c r="B1209" t="s">
        <v>10</v>
      </c>
      <c r="C1209" t="s">
        <v>121</v>
      </c>
      <c r="D1209" t="s">
        <v>144</v>
      </c>
      <c r="E1209" t="s">
        <v>1006</v>
      </c>
      <c r="F1209" t="s">
        <v>145</v>
      </c>
    </row>
    <row r="1210" spans="1:6">
      <c r="A1210" t="s">
        <v>120</v>
      </c>
      <c r="B1210" t="s">
        <v>10</v>
      </c>
      <c r="C1210" t="s">
        <v>123</v>
      </c>
      <c r="D1210" t="s">
        <v>144</v>
      </c>
      <c r="E1210" t="s">
        <v>1006</v>
      </c>
      <c r="F1210" t="s">
        <v>145</v>
      </c>
    </row>
    <row r="1211" spans="1:6">
      <c r="A1211" t="s">
        <v>120</v>
      </c>
      <c r="B1211" t="s">
        <v>10</v>
      </c>
      <c r="C1211" t="s">
        <v>122</v>
      </c>
      <c r="D1211" t="s">
        <v>144</v>
      </c>
      <c r="E1211" t="s">
        <v>1006</v>
      </c>
      <c r="F1211" t="s">
        <v>145</v>
      </c>
    </row>
    <row r="1212" spans="1:6">
      <c r="A1212" t="s">
        <v>120</v>
      </c>
      <c r="B1212" t="s">
        <v>647</v>
      </c>
      <c r="C1212" t="s">
        <v>954</v>
      </c>
      <c r="D1212" t="s">
        <v>164</v>
      </c>
      <c r="E1212" t="s">
        <v>1007</v>
      </c>
      <c r="F1212" t="s">
        <v>647</v>
      </c>
    </row>
    <row r="1213" spans="1:6">
      <c r="A1213" t="s">
        <v>120</v>
      </c>
      <c r="B1213" t="s">
        <v>647</v>
      </c>
      <c r="C1213" t="s">
        <v>1008</v>
      </c>
      <c r="D1213" t="s">
        <v>144</v>
      </c>
      <c r="E1213" t="s">
        <v>1007</v>
      </c>
      <c r="F1213" t="s">
        <v>647</v>
      </c>
    </row>
    <row r="1214" spans="1:6">
      <c r="A1214" t="s">
        <v>120</v>
      </c>
      <c r="B1214" t="s">
        <v>647</v>
      </c>
      <c r="C1214" t="s">
        <v>1009</v>
      </c>
      <c r="D1214" t="s">
        <v>144</v>
      </c>
      <c r="E1214" t="s">
        <v>1007</v>
      </c>
      <c r="F1214" t="s">
        <v>647</v>
      </c>
    </row>
    <row r="1215" spans="1:6">
      <c r="A1215" t="s">
        <v>120</v>
      </c>
      <c r="B1215" t="s">
        <v>647</v>
      </c>
      <c r="C1215" t="s">
        <v>1010</v>
      </c>
      <c r="D1215" t="s">
        <v>144</v>
      </c>
      <c r="E1215" t="s">
        <v>1007</v>
      </c>
      <c r="F1215" t="s">
        <v>647</v>
      </c>
    </row>
    <row r="1216" spans="1:6">
      <c r="A1216" t="s">
        <v>120</v>
      </c>
      <c r="B1216" t="s">
        <v>647</v>
      </c>
      <c r="C1216" t="s">
        <v>968</v>
      </c>
      <c r="D1216" t="s">
        <v>164</v>
      </c>
      <c r="E1216" t="s">
        <v>1011</v>
      </c>
      <c r="F1216" t="s">
        <v>647</v>
      </c>
    </row>
    <row r="1217" spans="1:6">
      <c r="A1217" t="s">
        <v>120</v>
      </c>
      <c r="B1217" t="s">
        <v>647</v>
      </c>
      <c r="C1217" t="s">
        <v>1012</v>
      </c>
      <c r="D1217" t="s">
        <v>144</v>
      </c>
      <c r="E1217" t="s">
        <v>1011</v>
      </c>
      <c r="F1217" t="s">
        <v>647</v>
      </c>
    </row>
    <row r="1218" spans="1:6">
      <c r="A1218" t="s">
        <v>120</v>
      </c>
      <c r="B1218" t="s">
        <v>647</v>
      </c>
      <c r="C1218" t="s">
        <v>1013</v>
      </c>
      <c r="D1218" t="s">
        <v>144</v>
      </c>
      <c r="E1218" t="s">
        <v>1011</v>
      </c>
      <c r="F1218" t="s">
        <v>647</v>
      </c>
    </row>
    <row r="1219" spans="1:6">
      <c r="A1219" t="s">
        <v>120</v>
      </c>
      <c r="B1219" t="s">
        <v>647</v>
      </c>
      <c r="C1219" t="s">
        <v>1014</v>
      </c>
      <c r="D1219" t="s">
        <v>144</v>
      </c>
      <c r="E1219" t="s">
        <v>1011</v>
      </c>
      <c r="F1219" t="s">
        <v>647</v>
      </c>
    </row>
    <row r="1220" spans="1:6">
      <c r="A1220" t="s">
        <v>120</v>
      </c>
      <c r="B1220" t="s">
        <v>647</v>
      </c>
      <c r="C1220" t="s">
        <v>1015</v>
      </c>
      <c r="D1220" t="s">
        <v>144</v>
      </c>
      <c r="E1220" t="s">
        <v>1011</v>
      </c>
      <c r="F1220" t="s">
        <v>647</v>
      </c>
    </row>
    <row r="1221" spans="1:6">
      <c r="A1221" t="s">
        <v>120</v>
      </c>
      <c r="B1221" t="s">
        <v>924</v>
      </c>
      <c r="C1221" t="s">
        <v>1016</v>
      </c>
      <c r="D1221" t="s">
        <v>144</v>
      </c>
      <c r="F1221" t="s">
        <v>145</v>
      </c>
    </row>
    <row r="1222" spans="1:6">
      <c r="A1222" t="s">
        <v>120</v>
      </c>
      <c r="B1222" t="s">
        <v>924</v>
      </c>
      <c r="C1222" t="s">
        <v>1017</v>
      </c>
      <c r="D1222" t="s">
        <v>144</v>
      </c>
      <c r="F1222" t="s">
        <v>145</v>
      </c>
    </row>
    <row r="1223" spans="1:6">
      <c r="A1223" t="s">
        <v>120</v>
      </c>
      <c r="B1223" t="s">
        <v>924</v>
      </c>
      <c r="C1223" t="s">
        <v>1018</v>
      </c>
      <c r="D1223" t="s">
        <v>144</v>
      </c>
      <c r="F1223" t="s">
        <v>145</v>
      </c>
    </row>
    <row r="1224" spans="1:6">
      <c r="A1224" t="s">
        <v>120</v>
      </c>
      <c r="B1224" t="s">
        <v>924</v>
      </c>
      <c r="C1224" t="s">
        <v>969</v>
      </c>
      <c r="D1224" t="s">
        <v>144</v>
      </c>
      <c r="F1224" t="s">
        <v>145</v>
      </c>
    </row>
    <row r="1225" spans="1:6">
      <c r="A1225" t="s">
        <v>120</v>
      </c>
      <c r="B1225" t="s">
        <v>924</v>
      </c>
      <c r="C1225" t="s">
        <v>941</v>
      </c>
      <c r="D1225" t="s">
        <v>144</v>
      </c>
      <c r="F1225" t="s">
        <v>145</v>
      </c>
    </row>
    <row r="1226" spans="1:6">
      <c r="A1226" t="s">
        <v>120</v>
      </c>
      <c r="B1226" t="s">
        <v>924</v>
      </c>
      <c r="C1226" t="s">
        <v>942</v>
      </c>
      <c r="D1226" t="s">
        <v>144</v>
      </c>
      <c r="F1226" t="s">
        <v>145</v>
      </c>
    </row>
    <row r="1227" spans="1:6">
      <c r="A1227" t="s">
        <v>120</v>
      </c>
      <c r="B1227" t="s">
        <v>158</v>
      </c>
      <c r="C1227" t="s">
        <v>99</v>
      </c>
      <c r="D1227" t="s">
        <v>217</v>
      </c>
      <c r="F1227" t="s">
        <v>145</v>
      </c>
    </row>
    <row r="1228" spans="1:6">
      <c r="A1228" t="s">
        <v>120</v>
      </c>
      <c r="B1228" t="s">
        <v>158</v>
      </c>
      <c r="C1228" t="s">
        <v>980</v>
      </c>
      <c r="D1228" t="s">
        <v>217</v>
      </c>
      <c r="F1228" t="s">
        <v>647</v>
      </c>
    </row>
    <row r="1229" spans="1:6">
      <c r="A1229" t="s">
        <v>120</v>
      </c>
      <c r="B1229" t="s">
        <v>158</v>
      </c>
      <c r="C1229" t="s">
        <v>69</v>
      </c>
      <c r="D1229" t="s">
        <v>1019</v>
      </c>
      <c r="F1229" t="s">
        <v>145</v>
      </c>
    </row>
    <row r="1230" spans="1:6">
      <c r="A1230" t="s">
        <v>120</v>
      </c>
      <c r="B1230" t="s">
        <v>158</v>
      </c>
      <c r="C1230" t="s">
        <v>257</v>
      </c>
      <c r="D1230" t="s">
        <v>160</v>
      </c>
      <c r="F1230" t="s">
        <v>145</v>
      </c>
    </row>
    <row r="1231" spans="1:6">
      <c r="A1231" t="s">
        <v>120</v>
      </c>
      <c r="B1231" t="s">
        <v>158</v>
      </c>
      <c r="C1231" t="s">
        <v>887</v>
      </c>
      <c r="D1231" t="s">
        <v>836</v>
      </c>
      <c r="F1231" t="s">
        <v>337</v>
      </c>
    </row>
    <row r="1232" spans="1:6">
      <c r="A1232" t="s">
        <v>114</v>
      </c>
      <c r="B1232" t="s">
        <v>542</v>
      </c>
      <c r="C1232" t="s">
        <v>974</v>
      </c>
      <c r="D1232" t="s">
        <v>164</v>
      </c>
      <c r="E1232" t="s">
        <v>1020</v>
      </c>
      <c r="F1232" t="s">
        <v>145</v>
      </c>
    </row>
    <row r="1233" spans="1:6">
      <c r="A1233" t="s">
        <v>114</v>
      </c>
      <c r="B1233" t="s">
        <v>542</v>
      </c>
      <c r="C1233" t="s">
        <v>1021</v>
      </c>
      <c r="D1233" t="s">
        <v>144</v>
      </c>
      <c r="E1233" t="s">
        <v>1020</v>
      </c>
      <c r="F1233" t="s">
        <v>145</v>
      </c>
    </row>
    <row r="1234" spans="1:6">
      <c r="A1234" t="s">
        <v>114</v>
      </c>
      <c r="B1234" t="s">
        <v>542</v>
      </c>
      <c r="C1234" t="s">
        <v>1022</v>
      </c>
      <c r="D1234" t="s">
        <v>144</v>
      </c>
      <c r="E1234" t="s">
        <v>1020</v>
      </c>
      <c r="F1234" t="s">
        <v>145</v>
      </c>
    </row>
    <row r="1235" spans="1:6">
      <c r="A1235" t="s">
        <v>114</v>
      </c>
      <c r="B1235" t="s">
        <v>542</v>
      </c>
      <c r="C1235" t="s">
        <v>1023</v>
      </c>
      <c r="D1235" t="s">
        <v>144</v>
      </c>
      <c r="E1235" t="s">
        <v>1020</v>
      </c>
      <c r="F1235" t="s">
        <v>145</v>
      </c>
    </row>
    <row r="1236" spans="1:6">
      <c r="A1236" t="s">
        <v>114</v>
      </c>
      <c r="B1236" t="s">
        <v>542</v>
      </c>
      <c r="C1236" t="s">
        <v>1024</v>
      </c>
      <c r="D1236" t="s">
        <v>144</v>
      </c>
      <c r="E1236" t="s">
        <v>1020</v>
      </c>
      <c r="F1236" t="s">
        <v>145</v>
      </c>
    </row>
    <row r="1237" spans="1:6">
      <c r="A1237" t="s">
        <v>114</v>
      </c>
      <c r="B1237" t="s">
        <v>535</v>
      </c>
      <c r="C1237" t="s">
        <v>987</v>
      </c>
      <c r="D1237" t="s">
        <v>164</v>
      </c>
      <c r="E1237" t="s">
        <v>1020</v>
      </c>
      <c r="F1237" t="s">
        <v>145</v>
      </c>
    </row>
    <row r="1238" spans="1:6">
      <c r="A1238" t="s">
        <v>114</v>
      </c>
      <c r="B1238" t="s">
        <v>535</v>
      </c>
      <c r="C1238" t="s">
        <v>1025</v>
      </c>
      <c r="D1238" t="s">
        <v>144</v>
      </c>
      <c r="E1238" t="s">
        <v>1020</v>
      </c>
      <c r="F1238" t="s">
        <v>145</v>
      </c>
    </row>
    <row r="1239" spans="1:6">
      <c r="A1239" t="s">
        <v>114</v>
      </c>
      <c r="B1239" t="s">
        <v>535</v>
      </c>
      <c r="C1239" t="s">
        <v>1026</v>
      </c>
      <c r="D1239" t="s">
        <v>144</v>
      </c>
      <c r="E1239" t="s">
        <v>1020</v>
      </c>
      <c r="F1239" t="s">
        <v>145</v>
      </c>
    </row>
    <row r="1240" spans="1:6">
      <c r="A1240" t="s">
        <v>114</v>
      </c>
      <c r="B1240" t="s">
        <v>535</v>
      </c>
      <c r="C1240" t="s">
        <v>1027</v>
      </c>
      <c r="D1240" t="s">
        <v>144</v>
      </c>
      <c r="E1240" t="s">
        <v>1020</v>
      </c>
      <c r="F1240" t="s">
        <v>145</v>
      </c>
    </row>
    <row r="1241" spans="1:6">
      <c r="A1241" t="s">
        <v>114</v>
      </c>
      <c r="B1241" t="s">
        <v>535</v>
      </c>
      <c r="C1241" t="s">
        <v>1028</v>
      </c>
      <c r="D1241" t="s">
        <v>144</v>
      </c>
      <c r="E1241" t="s">
        <v>1020</v>
      </c>
      <c r="F1241" t="s">
        <v>145</v>
      </c>
    </row>
    <row r="1242" spans="1:6">
      <c r="A1242" t="s">
        <v>114</v>
      </c>
      <c r="B1242" t="s">
        <v>384</v>
      </c>
      <c r="C1242" t="s">
        <v>1014</v>
      </c>
      <c r="D1242" t="s">
        <v>164</v>
      </c>
      <c r="E1242" t="s">
        <v>1029</v>
      </c>
      <c r="F1242" t="s">
        <v>145</v>
      </c>
    </row>
    <row r="1243" spans="1:6">
      <c r="A1243" t="s">
        <v>114</v>
      </c>
      <c r="B1243" t="s">
        <v>384</v>
      </c>
      <c r="C1243" t="s">
        <v>1030</v>
      </c>
      <c r="D1243" t="s">
        <v>144</v>
      </c>
      <c r="E1243" t="s">
        <v>1029</v>
      </c>
      <c r="F1243" t="s">
        <v>145</v>
      </c>
    </row>
    <row r="1244" spans="1:6">
      <c r="A1244" t="s">
        <v>114</v>
      </c>
      <c r="B1244" t="s">
        <v>384</v>
      </c>
      <c r="C1244" t="s">
        <v>1031</v>
      </c>
      <c r="D1244" t="s">
        <v>144</v>
      </c>
      <c r="E1244" t="s">
        <v>1032</v>
      </c>
      <c r="F1244" t="s">
        <v>145</v>
      </c>
    </row>
    <row r="1245" spans="1:6">
      <c r="A1245" t="s">
        <v>114</v>
      </c>
      <c r="B1245" t="s">
        <v>384</v>
      </c>
      <c r="C1245" t="s">
        <v>1033</v>
      </c>
      <c r="D1245" t="s">
        <v>144</v>
      </c>
      <c r="E1245" t="s">
        <v>1034</v>
      </c>
      <c r="F1245" t="s">
        <v>145</v>
      </c>
    </row>
    <row r="1246" spans="1:6">
      <c r="A1246" t="s">
        <v>114</v>
      </c>
      <c r="B1246" t="s">
        <v>384</v>
      </c>
      <c r="C1246" t="s">
        <v>1035</v>
      </c>
      <c r="D1246" t="s">
        <v>144</v>
      </c>
      <c r="E1246" t="s">
        <v>1036</v>
      </c>
      <c r="F1246" t="s">
        <v>145</v>
      </c>
    </row>
    <row r="1247" spans="1:6">
      <c r="A1247" t="s">
        <v>114</v>
      </c>
      <c r="B1247" t="s">
        <v>547</v>
      </c>
      <c r="C1247" t="s">
        <v>988</v>
      </c>
      <c r="D1247" t="s">
        <v>164</v>
      </c>
      <c r="E1247" t="s">
        <v>1037</v>
      </c>
      <c r="F1247" t="s">
        <v>145</v>
      </c>
    </row>
    <row r="1248" spans="1:6">
      <c r="A1248" t="s">
        <v>114</v>
      </c>
      <c r="B1248" t="s">
        <v>547</v>
      </c>
      <c r="C1248" t="s">
        <v>1038</v>
      </c>
      <c r="D1248" t="s">
        <v>144</v>
      </c>
      <c r="E1248" t="s">
        <v>1037</v>
      </c>
      <c r="F1248" t="s">
        <v>145</v>
      </c>
    </row>
    <row r="1249" spans="1:6">
      <c r="A1249" t="s">
        <v>114</v>
      </c>
      <c r="B1249" t="s">
        <v>547</v>
      </c>
      <c r="C1249" t="s">
        <v>1039</v>
      </c>
      <c r="D1249" t="s">
        <v>144</v>
      </c>
      <c r="E1249" t="s">
        <v>1037</v>
      </c>
      <c r="F1249" t="s">
        <v>145</v>
      </c>
    </row>
    <row r="1250" spans="1:6">
      <c r="A1250" t="s">
        <v>114</v>
      </c>
      <c r="B1250" t="s">
        <v>547</v>
      </c>
      <c r="C1250" t="s">
        <v>1040</v>
      </c>
      <c r="D1250" t="s">
        <v>144</v>
      </c>
      <c r="E1250" t="s">
        <v>1037</v>
      </c>
      <c r="F1250" t="s">
        <v>145</v>
      </c>
    </row>
    <row r="1251" spans="1:6">
      <c r="A1251" t="s">
        <v>114</v>
      </c>
      <c r="B1251" t="s">
        <v>10</v>
      </c>
      <c r="C1251" t="s">
        <v>117</v>
      </c>
      <c r="D1251" t="s">
        <v>164</v>
      </c>
      <c r="E1251" t="s">
        <v>1041</v>
      </c>
      <c r="F1251" t="s">
        <v>145</v>
      </c>
    </row>
    <row r="1252" spans="1:6">
      <c r="A1252" t="s">
        <v>114</v>
      </c>
      <c r="B1252" t="s">
        <v>10</v>
      </c>
      <c r="C1252" t="s">
        <v>116</v>
      </c>
      <c r="D1252" t="s">
        <v>144</v>
      </c>
      <c r="E1252" t="s">
        <v>1041</v>
      </c>
      <c r="F1252" t="s">
        <v>145</v>
      </c>
    </row>
    <row r="1253" spans="1:6">
      <c r="A1253" t="s">
        <v>114</v>
      </c>
      <c r="B1253" t="s">
        <v>10</v>
      </c>
      <c r="C1253" t="s">
        <v>115</v>
      </c>
      <c r="D1253" t="s">
        <v>144</v>
      </c>
      <c r="E1253" t="s">
        <v>1041</v>
      </c>
      <c r="F1253" t="s">
        <v>145</v>
      </c>
    </row>
    <row r="1254" spans="1:6">
      <c r="A1254" t="s">
        <v>114</v>
      </c>
      <c r="B1254" t="s">
        <v>10</v>
      </c>
      <c r="C1254" t="s">
        <v>118</v>
      </c>
      <c r="D1254" t="s">
        <v>144</v>
      </c>
      <c r="E1254" t="s">
        <v>1041</v>
      </c>
      <c r="F1254" t="s">
        <v>145</v>
      </c>
    </row>
    <row r="1255" spans="1:6">
      <c r="A1255" t="s">
        <v>114</v>
      </c>
      <c r="B1255" t="s">
        <v>647</v>
      </c>
      <c r="C1255" t="s">
        <v>967</v>
      </c>
      <c r="D1255" t="s">
        <v>164</v>
      </c>
      <c r="E1255" t="s">
        <v>1042</v>
      </c>
      <c r="F1255" t="s">
        <v>647</v>
      </c>
    </row>
    <row r="1256" spans="1:6">
      <c r="A1256" t="s">
        <v>114</v>
      </c>
      <c r="B1256" t="s">
        <v>647</v>
      </c>
      <c r="C1256" t="s">
        <v>1043</v>
      </c>
      <c r="D1256" t="s">
        <v>144</v>
      </c>
      <c r="E1256" t="s">
        <v>1042</v>
      </c>
      <c r="F1256" t="s">
        <v>647</v>
      </c>
    </row>
    <row r="1257" spans="1:6">
      <c r="A1257" t="s">
        <v>114</v>
      </c>
      <c r="B1257" t="s">
        <v>647</v>
      </c>
      <c r="C1257" t="s">
        <v>1013</v>
      </c>
      <c r="D1257" t="s">
        <v>144</v>
      </c>
      <c r="E1257" t="s">
        <v>1042</v>
      </c>
      <c r="F1257" t="s">
        <v>647</v>
      </c>
    </row>
    <row r="1258" spans="1:6">
      <c r="A1258" t="s">
        <v>114</v>
      </c>
      <c r="B1258" t="s">
        <v>647</v>
      </c>
      <c r="C1258" t="s">
        <v>1044</v>
      </c>
      <c r="D1258" t="s">
        <v>144</v>
      </c>
      <c r="E1258" t="s">
        <v>1042</v>
      </c>
      <c r="F1258" t="s">
        <v>647</v>
      </c>
    </row>
    <row r="1259" spans="1:6">
      <c r="A1259" t="s">
        <v>114</v>
      </c>
      <c r="B1259" t="s">
        <v>647</v>
      </c>
      <c r="C1259" t="s">
        <v>1045</v>
      </c>
      <c r="D1259" t="s">
        <v>144</v>
      </c>
      <c r="E1259" t="s">
        <v>1042</v>
      </c>
      <c r="F1259" t="s">
        <v>647</v>
      </c>
    </row>
    <row r="1260" spans="1:6">
      <c r="A1260" t="s">
        <v>114</v>
      </c>
      <c r="B1260" t="s">
        <v>924</v>
      </c>
      <c r="C1260" t="s">
        <v>934</v>
      </c>
      <c r="D1260" t="s">
        <v>164</v>
      </c>
      <c r="F1260" t="s">
        <v>145</v>
      </c>
    </row>
    <row r="1261" spans="1:6">
      <c r="A1261" t="s">
        <v>114</v>
      </c>
      <c r="B1261" t="s">
        <v>924</v>
      </c>
      <c r="C1261" t="s">
        <v>991</v>
      </c>
      <c r="D1261" t="s">
        <v>144</v>
      </c>
      <c r="F1261" t="s">
        <v>145</v>
      </c>
    </row>
    <row r="1262" spans="1:6">
      <c r="A1262" t="s">
        <v>114</v>
      </c>
      <c r="B1262" t="s">
        <v>924</v>
      </c>
      <c r="C1262" t="s">
        <v>969</v>
      </c>
      <c r="D1262" t="s">
        <v>144</v>
      </c>
      <c r="F1262" t="s">
        <v>145</v>
      </c>
    </row>
    <row r="1263" spans="1:6">
      <c r="A1263" t="s">
        <v>114</v>
      </c>
      <c r="B1263" t="s">
        <v>924</v>
      </c>
      <c r="C1263" t="s">
        <v>992</v>
      </c>
      <c r="D1263" t="s">
        <v>144</v>
      </c>
      <c r="F1263" t="s">
        <v>145</v>
      </c>
    </row>
    <row r="1264" spans="1:6">
      <c r="A1264" t="s">
        <v>114</v>
      </c>
      <c r="B1264" t="s">
        <v>924</v>
      </c>
      <c r="C1264" t="s">
        <v>970</v>
      </c>
      <c r="D1264" t="s">
        <v>144</v>
      </c>
      <c r="F1264" t="s">
        <v>145</v>
      </c>
    </row>
    <row r="1265" spans="1:6">
      <c r="A1265" t="s">
        <v>114</v>
      </c>
      <c r="B1265" t="s">
        <v>924</v>
      </c>
      <c r="C1265" t="s">
        <v>961</v>
      </c>
      <c r="D1265" t="s">
        <v>144</v>
      </c>
      <c r="F1265" t="s">
        <v>145</v>
      </c>
    </row>
    <row r="1266" spans="1:6">
      <c r="A1266" t="s">
        <v>114</v>
      </c>
      <c r="B1266" t="s">
        <v>158</v>
      </c>
      <c r="C1266" t="s">
        <v>957</v>
      </c>
      <c r="D1266" t="s">
        <v>217</v>
      </c>
      <c r="F1266" t="s">
        <v>145</v>
      </c>
    </row>
    <row r="1267" spans="1:6">
      <c r="A1267" t="s">
        <v>114</v>
      </c>
      <c r="B1267" t="s">
        <v>158</v>
      </c>
      <c r="C1267" t="s">
        <v>99</v>
      </c>
      <c r="D1267" t="s">
        <v>217</v>
      </c>
      <c r="F1267" t="s">
        <v>145</v>
      </c>
    </row>
    <row r="1268" spans="1:6">
      <c r="A1268" t="s">
        <v>114</v>
      </c>
      <c r="B1268" t="s">
        <v>158</v>
      </c>
      <c r="C1268" t="s">
        <v>987</v>
      </c>
      <c r="D1268" t="s">
        <v>217</v>
      </c>
      <c r="F1268" t="s">
        <v>145</v>
      </c>
    </row>
    <row r="1269" spans="1:6">
      <c r="A1269" t="s">
        <v>114</v>
      </c>
      <c r="B1269" t="s">
        <v>158</v>
      </c>
      <c r="C1269" t="s">
        <v>69</v>
      </c>
      <c r="D1269" t="s">
        <v>1019</v>
      </c>
      <c r="F1269" t="s">
        <v>145</v>
      </c>
    </row>
    <row r="1270" spans="1:6">
      <c r="A1270" t="s">
        <v>114</v>
      </c>
      <c r="B1270" t="s">
        <v>158</v>
      </c>
      <c r="C1270" t="s">
        <v>257</v>
      </c>
      <c r="D1270" t="s">
        <v>160</v>
      </c>
      <c r="F1270" t="s">
        <v>145</v>
      </c>
    </row>
    <row r="1271" spans="1:6">
      <c r="A1271" t="s">
        <v>114</v>
      </c>
      <c r="B1271" t="s">
        <v>158</v>
      </c>
      <c r="C1271" t="s">
        <v>887</v>
      </c>
      <c r="D1271" t="s">
        <v>836</v>
      </c>
      <c r="F1271" t="s">
        <v>337</v>
      </c>
    </row>
    <row r="1272" spans="1:6">
      <c r="A1272" t="s">
        <v>133</v>
      </c>
      <c r="B1272" t="s">
        <v>542</v>
      </c>
      <c r="C1272" t="s">
        <v>969</v>
      </c>
      <c r="D1272" t="s">
        <v>164</v>
      </c>
      <c r="E1272" t="s">
        <v>1046</v>
      </c>
      <c r="F1272" t="s">
        <v>145</v>
      </c>
    </row>
    <row r="1273" spans="1:6">
      <c r="A1273" t="s">
        <v>133</v>
      </c>
      <c r="B1273" t="s">
        <v>542</v>
      </c>
      <c r="C1273" t="s">
        <v>1047</v>
      </c>
      <c r="D1273" t="s">
        <v>144</v>
      </c>
      <c r="E1273" t="s">
        <v>1046</v>
      </c>
      <c r="F1273" t="s">
        <v>145</v>
      </c>
    </row>
    <row r="1274" spans="1:6">
      <c r="A1274" t="s">
        <v>133</v>
      </c>
      <c r="B1274" t="s">
        <v>542</v>
      </c>
      <c r="C1274" t="s">
        <v>1048</v>
      </c>
      <c r="D1274" t="s">
        <v>144</v>
      </c>
      <c r="E1274" t="s">
        <v>1046</v>
      </c>
      <c r="F1274" t="s">
        <v>145</v>
      </c>
    </row>
    <row r="1275" spans="1:6">
      <c r="A1275" t="s">
        <v>133</v>
      </c>
      <c r="B1275" t="s">
        <v>542</v>
      </c>
      <c r="C1275" t="s">
        <v>1049</v>
      </c>
      <c r="D1275" t="s">
        <v>144</v>
      </c>
      <c r="E1275" t="s">
        <v>1046</v>
      </c>
      <c r="F1275" t="s">
        <v>145</v>
      </c>
    </row>
    <row r="1276" spans="1:6">
      <c r="A1276" t="s">
        <v>133</v>
      </c>
      <c r="B1276" t="s">
        <v>542</v>
      </c>
      <c r="C1276" t="s">
        <v>1050</v>
      </c>
      <c r="D1276" t="s">
        <v>144</v>
      </c>
      <c r="E1276" t="s">
        <v>1046</v>
      </c>
      <c r="F1276" t="s">
        <v>145</v>
      </c>
    </row>
    <row r="1277" spans="1:6">
      <c r="A1277" t="s">
        <v>133</v>
      </c>
      <c r="B1277" t="s">
        <v>542</v>
      </c>
      <c r="C1277" t="s">
        <v>1051</v>
      </c>
      <c r="D1277" t="s">
        <v>144</v>
      </c>
      <c r="E1277" t="s">
        <v>1046</v>
      </c>
      <c r="F1277" t="s">
        <v>145</v>
      </c>
    </row>
    <row r="1278" spans="1:6">
      <c r="A1278" t="s">
        <v>133</v>
      </c>
      <c r="B1278" t="s">
        <v>535</v>
      </c>
      <c r="C1278" t="s">
        <v>1023</v>
      </c>
      <c r="D1278" t="s">
        <v>164</v>
      </c>
      <c r="E1278" t="s">
        <v>1046</v>
      </c>
      <c r="F1278" t="s">
        <v>145</v>
      </c>
    </row>
    <row r="1279" spans="1:6">
      <c r="A1279" t="s">
        <v>133</v>
      </c>
      <c r="B1279" t="s">
        <v>535</v>
      </c>
      <c r="C1279" t="s">
        <v>1052</v>
      </c>
      <c r="D1279" t="s">
        <v>144</v>
      </c>
      <c r="E1279" t="s">
        <v>1046</v>
      </c>
      <c r="F1279" t="s">
        <v>145</v>
      </c>
    </row>
    <row r="1280" spans="1:6">
      <c r="A1280" t="s">
        <v>133</v>
      </c>
      <c r="B1280" t="s">
        <v>535</v>
      </c>
      <c r="C1280" t="s">
        <v>1053</v>
      </c>
      <c r="D1280" t="s">
        <v>144</v>
      </c>
      <c r="E1280" t="s">
        <v>1046</v>
      </c>
      <c r="F1280" t="s">
        <v>145</v>
      </c>
    </row>
    <row r="1281" spans="1:6">
      <c r="A1281" t="s">
        <v>133</v>
      </c>
      <c r="B1281" t="s">
        <v>535</v>
      </c>
      <c r="C1281" t="s">
        <v>1054</v>
      </c>
      <c r="D1281" t="s">
        <v>144</v>
      </c>
      <c r="E1281" t="s">
        <v>1046</v>
      </c>
      <c r="F1281" t="s">
        <v>145</v>
      </c>
    </row>
    <row r="1282" spans="1:6">
      <c r="A1282" t="s">
        <v>133</v>
      </c>
      <c r="B1282" t="s">
        <v>535</v>
      </c>
      <c r="C1282" t="s">
        <v>1055</v>
      </c>
      <c r="D1282" t="s">
        <v>144</v>
      </c>
      <c r="E1282" t="s">
        <v>1046</v>
      </c>
      <c r="F1282" t="s">
        <v>145</v>
      </c>
    </row>
    <row r="1283" spans="1:6">
      <c r="A1283" t="s">
        <v>133</v>
      </c>
      <c r="B1283" t="s">
        <v>525</v>
      </c>
      <c r="C1283" t="s">
        <v>115</v>
      </c>
      <c r="D1283" t="s">
        <v>164</v>
      </c>
      <c r="E1283" t="s">
        <v>1056</v>
      </c>
      <c r="F1283" t="s">
        <v>145</v>
      </c>
    </row>
    <row r="1284" spans="1:6">
      <c r="A1284" t="s">
        <v>133</v>
      </c>
      <c r="B1284" t="s">
        <v>525</v>
      </c>
      <c r="C1284" t="s">
        <v>1057</v>
      </c>
      <c r="D1284" t="s">
        <v>144</v>
      </c>
      <c r="E1284" t="s">
        <v>1056</v>
      </c>
      <c r="F1284" t="s">
        <v>145</v>
      </c>
    </row>
    <row r="1285" spans="1:6">
      <c r="A1285" t="s">
        <v>133</v>
      </c>
      <c r="B1285" t="s">
        <v>525</v>
      </c>
      <c r="C1285" t="s">
        <v>1058</v>
      </c>
      <c r="D1285" t="s">
        <v>144</v>
      </c>
      <c r="E1285" t="s">
        <v>1056</v>
      </c>
      <c r="F1285" t="s">
        <v>145</v>
      </c>
    </row>
    <row r="1286" spans="1:6">
      <c r="A1286" t="s">
        <v>133</v>
      </c>
      <c r="B1286" t="s">
        <v>525</v>
      </c>
      <c r="C1286" t="s">
        <v>1059</v>
      </c>
      <c r="D1286" t="s">
        <v>144</v>
      </c>
      <c r="E1286" t="s">
        <v>1056</v>
      </c>
      <c r="F1286" t="s">
        <v>145</v>
      </c>
    </row>
    <row r="1287" spans="1:6">
      <c r="A1287" t="s">
        <v>133</v>
      </c>
      <c r="B1287" t="s">
        <v>525</v>
      </c>
      <c r="C1287" t="s">
        <v>1060</v>
      </c>
      <c r="D1287" t="s">
        <v>144</v>
      </c>
      <c r="E1287" t="s">
        <v>1056</v>
      </c>
      <c r="F1287" t="s">
        <v>145</v>
      </c>
    </row>
    <row r="1288" spans="1:6">
      <c r="A1288" t="s">
        <v>133</v>
      </c>
      <c r="B1288" t="s">
        <v>525</v>
      </c>
      <c r="C1288" t="s">
        <v>1061</v>
      </c>
      <c r="D1288" t="s">
        <v>144</v>
      </c>
      <c r="E1288" t="s">
        <v>1056</v>
      </c>
      <c r="F1288" t="s">
        <v>145</v>
      </c>
    </row>
    <row r="1289" spans="1:6">
      <c r="A1289" t="s">
        <v>133</v>
      </c>
      <c r="B1289" t="s">
        <v>10</v>
      </c>
      <c r="C1289" t="s">
        <v>112</v>
      </c>
      <c r="D1289" t="s">
        <v>164</v>
      </c>
      <c r="E1289" t="s">
        <v>1062</v>
      </c>
      <c r="F1289" t="s">
        <v>145</v>
      </c>
    </row>
    <row r="1290" spans="1:6">
      <c r="A1290" t="s">
        <v>133</v>
      </c>
      <c r="B1290" t="s">
        <v>10</v>
      </c>
      <c r="C1290" t="s">
        <v>135</v>
      </c>
      <c r="D1290" t="s">
        <v>144</v>
      </c>
      <c r="E1290" t="s">
        <v>1062</v>
      </c>
      <c r="F1290" t="s">
        <v>145</v>
      </c>
    </row>
    <row r="1291" spans="1:6">
      <c r="A1291" t="s">
        <v>133</v>
      </c>
      <c r="B1291" t="s">
        <v>10</v>
      </c>
      <c r="C1291" t="s">
        <v>136</v>
      </c>
      <c r="D1291" t="s">
        <v>144</v>
      </c>
      <c r="E1291" t="s">
        <v>1062</v>
      </c>
      <c r="F1291" t="s">
        <v>145</v>
      </c>
    </row>
    <row r="1292" spans="1:6">
      <c r="A1292" t="s">
        <v>133</v>
      </c>
      <c r="B1292" t="s">
        <v>10</v>
      </c>
      <c r="C1292" t="s">
        <v>127</v>
      </c>
      <c r="D1292" t="s">
        <v>144</v>
      </c>
      <c r="E1292" t="s">
        <v>1062</v>
      </c>
      <c r="F1292" t="s">
        <v>145</v>
      </c>
    </row>
    <row r="1293" spans="1:6">
      <c r="A1293" t="s">
        <v>133</v>
      </c>
      <c r="B1293" t="s">
        <v>10</v>
      </c>
      <c r="C1293" t="s">
        <v>134</v>
      </c>
      <c r="D1293" t="s">
        <v>144</v>
      </c>
      <c r="E1293" t="s">
        <v>1062</v>
      </c>
      <c r="F1293" t="s">
        <v>145</v>
      </c>
    </row>
    <row r="1294" spans="1:6">
      <c r="A1294" t="s">
        <v>133</v>
      </c>
      <c r="B1294" t="s">
        <v>647</v>
      </c>
      <c r="C1294" t="s">
        <v>1044</v>
      </c>
      <c r="D1294" t="s">
        <v>164</v>
      </c>
      <c r="E1294" t="s">
        <v>1063</v>
      </c>
      <c r="F1294" t="s">
        <v>145</v>
      </c>
    </row>
    <row r="1295" spans="1:6">
      <c r="A1295" t="s">
        <v>133</v>
      </c>
      <c r="B1295" t="s">
        <v>647</v>
      </c>
      <c r="C1295" t="s">
        <v>1064</v>
      </c>
      <c r="D1295" t="s">
        <v>144</v>
      </c>
      <c r="E1295" t="s">
        <v>1063</v>
      </c>
      <c r="F1295" t="s">
        <v>145</v>
      </c>
    </row>
    <row r="1296" spans="1:6">
      <c r="A1296" t="s">
        <v>133</v>
      </c>
      <c r="B1296" t="s">
        <v>647</v>
      </c>
      <c r="C1296" t="s">
        <v>1065</v>
      </c>
      <c r="D1296" t="s">
        <v>144</v>
      </c>
      <c r="E1296" t="s">
        <v>1063</v>
      </c>
      <c r="F1296" t="s">
        <v>145</v>
      </c>
    </row>
    <row r="1297" spans="1:6">
      <c r="A1297" t="s">
        <v>133</v>
      </c>
      <c r="B1297" t="s">
        <v>647</v>
      </c>
      <c r="C1297" t="s">
        <v>1066</v>
      </c>
      <c r="D1297" t="s">
        <v>144</v>
      </c>
      <c r="E1297" t="s">
        <v>1063</v>
      </c>
      <c r="F1297" t="s">
        <v>145</v>
      </c>
    </row>
    <row r="1298" spans="1:6">
      <c r="A1298" t="s">
        <v>133</v>
      </c>
      <c r="B1298" t="s">
        <v>647</v>
      </c>
      <c r="C1298" t="s">
        <v>1067</v>
      </c>
      <c r="D1298" t="s">
        <v>144</v>
      </c>
      <c r="E1298" t="s">
        <v>1063</v>
      </c>
      <c r="F1298" t="s">
        <v>145</v>
      </c>
    </row>
    <row r="1299" spans="1:6">
      <c r="A1299" t="s">
        <v>133</v>
      </c>
      <c r="B1299" t="s">
        <v>158</v>
      </c>
      <c r="C1299" t="s">
        <v>112</v>
      </c>
      <c r="D1299" t="s">
        <v>217</v>
      </c>
      <c r="F1299" t="s">
        <v>145</v>
      </c>
    </row>
    <row r="1300" spans="1:6">
      <c r="A1300" t="s">
        <v>133</v>
      </c>
      <c r="B1300" t="s">
        <v>158</v>
      </c>
      <c r="C1300" t="s">
        <v>957</v>
      </c>
      <c r="D1300" t="s">
        <v>217</v>
      </c>
      <c r="F1300" t="s">
        <v>145</v>
      </c>
    </row>
    <row r="1301" spans="1:6">
      <c r="A1301" t="s">
        <v>133</v>
      </c>
      <c r="B1301" t="s">
        <v>158</v>
      </c>
      <c r="C1301" t="s">
        <v>99</v>
      </c>
      <c r="D1301" t="s">
        <v>217</v>
      </c>
      <c r="F1301" t="s">
        <v>145</v>
      </c>
    </row>
    <row r="1302" spans="1:6">
      <c r="A1302" t="s">
        <v>133</v>
      </c>
      <c r="B1302" t="s">
        <v>158</v>
      </c>
      <c r="C1302" t="s">
        <v>1014</v>
      </c>
      <c r="D1302" t="s">
        <v>217</v>
      </c>
      <c r="F1302" t="s">
        <v>145</v>
      </c>
    </row>
    <row r="1303" spans="1:6">
      <c r="A1303" t="s">
        <v>133</v>
      </c>
      <c r="B1303" t="s">
        <v>158</v>
      </c>
      <c r="C1303" t="s">
        <v>69</v>
      </c>
      <c r="D1303" t="s">
        <v>1019</v>
      </c>
      <c r="F1303" t="s">
        <v>145</v>
      </c>
    </row>
    <row r="1304" spans="1:6">
      <c r="A1304" t="s">
        <v>133</v>
      </c>
      <c r="B1304" t="s">
        <v>158</v>
      </c>
      <c r="C1304" t="s">
        <v>257</v>
      </c>
      <c r="D1304" t="s">
        <v>160</v>
      </c>
      <c r="F1304" t="s">
        <v>145</v>
      </c>
    </row>
    <row r="1305" spans="1:6">
      <c r="A1305" t="s">
        <v>133</v>
      </c>
      <c r="B1305" t="s">
        <v>158</v>
      </c>
      <c r="C1305" t="s">
        <v>887</v>
      </c>
      <c r="D1305" t="s">
        <v>836</v>
      </c>
      <c r="F1305" t="s">
        <v>337</v>
      </c>
    </row>
    <row r="1306" spans="1:6">
      <c r="A1306" t="s">
        <v>125</v>
      </c>
      <c r="B1306" s="2" t="s">
        <v>856</v>
      </c>
      <c r="C1306" s="2" t="s">
        <v>1014</v>
      </c>
      <c r="D1306" t="s">
        <v>217</v>
      </c>
      <c r="E1306" s="2" t="s">
        <v>1068</v>
      </c>
      <c r="F1306" s="2" t="s">
        <v>145</v>
      </c>
    </row>
    <row r="1307" spans="1:6">
      <c r="A1307" t="s">
        <v>125</v>
      </c>
      <c r="B1307" s="2" t="s">
        <v>856</v>
      </c>
      <c r="C1307" s="2" t="s">
        <v>1038</v>
      </c>
      <c r="D1307" s="2" t="s">
        <v>164</v>
      </c>
      <c r="E1307" s="2" t="s">
        <v>1068</v>
      </c>
      <c r="F1307" s="2" t="s">
        <v>145</v>
      </c>
    </row>
    <row r="1308" spans="1:6">
      <c r="A1308" t="s">
        <v>125</v>
      </c>
      <c r="B1308" s="2" t="s">
        <v>856</v>
      </c>
      <c r="C1308" s="2" t="s">
        <v>1069</v>
      </c>
      <c r="D1308" s="2" t="s">
        <v>144</v>
      </c>
      <c r="E1308" s="2" t="s">
        <v>1068</v>
      </c>
      <c r="F1308" s="2" t="s">
        <v>145</v>
      </c>
    </row>
    <row r="1309" spans="1:6">
      <c r="A1309" t="s">
        <v>125</v>
      </c>
      <c r="B1309" s="2" t="s">
        <v>856</v>
      </c>
      <c r="C1309" s="2" t="s">
        <v>1070</v>
      </c>
      <c r="D1309" s="2" t="s">
        <v>144</v>
      </c>
      <c r="E1309" s="2" t="s">
        <v>1068</v>
      </c>
      <c r="F1309" s="2" t="s">
        <v>145</v>
      </c>
    </row>
    <row r="1310" spans="1:6">
      <c r="A1310" t="s">
        <v>125</v>
      </c>
      <c r="B1310" s="2" t="s">
        <v>856</v>
      </c>
      <c r="C1310" s="2" t="s">
        <v>1071</v>
      </c>
      <c r="D1310" s="2" t="s">
        <v>144</v>
      </c>
      <c r="E1310" s="2" t="s">
        <v>1068</v>
      </c>
      <c r="F1310" s="2" t="s">
        <v>145</v>
      </c>
    </row>
    <row r="1311" spans="1:6">
      <c r="A1311" t="s">
        <v>125</v>
      </c>
      <c r="B1311" s="2" t="s">
        <v>856</v>
      </c>
      <c r="C1311" s="2" t="s">
        <v>1072</v>
      </c>
      <c r="D1311" s="2" t="s">
        <v>144</v>
      </c>
      <c r="E1311" s="2" t="s">
        <v>1068</v>
      </c>
      <c r="F1311" s="2" t="s">
        <v>145</v>
      </c>
    </row>
    <row r="1312" spans="1:6">
      <c r="A1312" t="s">
        <v>125</v>
      </c>
      <c r="B1312" s="2" t="s">
        <v>384</v>
      </c>
      <c r="C1312" s="2" t="s">
        <v>1073</v>
      </c>
      <c r="D1312" s="2" t="s">
        <v>217</v>
      </c>
      <c r="E1312" s="2"/>
      <c r="F1312" s="2" t="s">
        <v>145</v>
      </c>
    </row>
    <row r="1313" spans="1:6">
      <c r="A1313" t="s">
        <v>125</v>
      </c>
      <c r="B1313" s="2" t="s">
        <v>384</v>
      </c>
      <c r="C1313" s="2" t="s">
        <v>1061</v>
      </c>
      <c r="D1313" s="2" t="s">
        <v>164</v>
      </c>
      <c r="E1313" s="2"/>
      <c r="F1313" s="2" t="s">
        <v>145</v>
      </c>
    </row>
    <row r="1314" spans="1:6">
      <c r="A1314" t="s">
        <v>125</v>
      </c>
      <c r="B1314" s="2" t="s">
        <v>384</v>
      </c>
      <c r="C1314" s="2" t="s">
        <v>1074</v>
      </c>
      <c r="D1314" s="2" t="s">
        <v>144</v>
      </c>
      <c r="E1314" s="2" t="s">
        <v>1075</v>
      </c>
      <c r="F1314" s="2" t="s">
        <v>145</v>
      </c>
    </row>
    <row r="1315" spans="1:6">
      <c r="A1315" t="s">
        <v>125</v>
      </c>
      <c r="B1315" s="2" t="s">
        <v>384</v>
      </c>
      <c r="C1315" s="2" t="s">
        <v>1076</v>
      </c>
      <c r="D1315" s="2" t="s">
        <v>144</v>
      </c>
      <c r="E1315" s="2" t="s">
        <v>1077</v>
      </c>
      <c r="F1315" s="2" t="s">
        <v>145</v>
      </c>
    </row>
    <row r="1316" spans="1:6">
      <c r="A1316" t="s">
        <v>125</v>
      </c>
      <c r="B1316" s="2" t="s">
        <v>384</v>
      </c>
      <c r="C1316" s="2" t="s">
        <v>1078</v>
      </c>
      <c r="D1316" s="2" t="s">
        <v>144</v>
      </c>
      <c r="E1316" s="2" t="s">
        <v>1079</v>
      </c>
      <c r="F1316" s="2" t="s">
        <v>145</v>
      </c>
    </row>
    <row r="1317" spans="1:6">
      <c r="A1317" t="s">
        <v>125</v>
      </c>
      <c r="B1317" s="2" t="s">
        <v>384</v>
      </c>
      <c r="C1317" s="2" t="s">
        <v>1080</v>
      </c>
      <c r="D1317" s="2" t="s">
        <v>144</v>
      </c>
      <c r="E1317" s="2" t="s">
        <v>1081</v>
      </c>
      <c r="F1317" s="2" t="s">
        <v>145</v>
      </c>
    </row>
    <row r="1318" spans="1:6">
      <c r="A1318" t="s">
        <v>125</v>
      </c>
      <c r="B1318" s="2" t="s">
        <v>542</v>
      </c>
      <c r="C1318" s="2" t="s">
        <v>115</v>
      </c>
      <c r="D1318" s="2" t="s">
        <v>217</v>
      </c>
      <c r="E1318" s="2" t="s">
        <v>1082</v>
      </c>
      <c r="F1318" s="2" t="s">
        <v>145</v>
      </c>
    </row>
    <row r="1319" spans="1:6">
      <c r="A1319" t="s">
        <v>125</v>
      </c>
      <c r="B1319" s="2" t="s">
        <v>542</v>
      </c>
      <c r="C1319" s="2" t="s">
        <v>1051</v>
      </c>
      <c r="D1319" s="2" t="s">
        <v>164</v>
      </c>
      <c r="E1319" s="2" t="s">
        <v>1082</v>
      </c>
      <c r="F1319" s="2" t="s">
        <v>145</v>
      </c>
    </row>
    <row r="1320" spans="1:6">
      <c r="A1320" t="s">
        <v>125</v>
      </c>
      <c r="B1320" s="2" t="s">
        <v>542</v>
      </c>
      <c r="C1320" s="2" t="s">
        <v>1083</v>
      </c>
      <c r="D1320" s="2" t="s">
        <v>144</v>
      </c>
      <c r="E1320" s="2" t="s">
        <v>1082</v>
      </c>
      <c r="F1320" s="2" t="s">
        <v>145</v>
      </c>
    </row>
    <row r="1321" spans="1:6">
      <c r="A1321" t="s">
        <v>125</v>
      </c>
      <c r="B1321" s="2" t="s">
        <v>542</v>
      </c>
      <c r="C1321" s="2" t="s">
        <v>1084</v>
      </c>
      <c r="D1321" s="2" t="s">
        <v>144</v>
      </c>
      <c r="E1321" s="2" t="s">
        <v>1082</v>
      </c>
      <c r="F1321" s="2" t="s">
        <v>145</v>
      </c>
    </row>
    <row r="1322" spans="1:6">
      <c r="A1322" t="s">
        <v>125</v>
      </c>
      <c r="B1322" s="2" t="s">
        <v>542</v>
      </c>
      <c r="C1322" s="2" t="s">
        <v>1085</v>
      </c>
      <c r="D1322" s="2" t="s">
        <v>144</v>
      </c>
      <c r="E1322" s="2" t="s">
        <v>1082</v>
      </c>
      <c r="F1322" s="2" t="s">
        <v>145</v>
      </c>
    </row>
    <row r="1323" spans="1:6">
      <c r="A1323" t="s">
        <v>125</v>
      </c>
      <c r="B1323" s="2" t="s">
        <v>542</v>
      </c>
      <c r="C1323" s="2" t="s">
        <v>1086</v>
      </c>
      <c r="D1323" s="2" t="s">
        <v>144</v>
      </c>
      <c r="E1323" s="2" t="s">
        <v>1082</v>
      </c>
      <c r="F1323" s="2" t="s">
        <v>145</v>
      </c>
    </row>
    <row r="1324" spans="1:6">
      <c r="A1324" t="s">
        <v>125</v>
      </c>
      <c r="B1324" s="2" t="s">
        <v>542</v>
      </c>
      <c r="C1324" s="2" t="s">
        <v>1087</v>
      </c>
      <c r="D1324" s="2" t="s">
        <v>144</v>
      </c>
      <c r="E1324" s="2" t="s">
        <v>1082</v>
      </c>
      <c r="F1324" s="2" t="s">
        <v>145</v>
      </c>
    </row>
    <row r="1325" spans="1:6">
      <c r="A1325" t="s">
        <v>125</v>
      </c>
      <c r="B1325" s="2" t="s">
        <v>535</v>
      </c>
      <c r="C1325" s="2" t="s">
        <v>115</v>
      </c>
      <c r="D1325" s="2" t="s">
        <v>217</v>
      </c>
      <c r="E1325" s="2" t="s">
        <v>1082</v>
      </c>
      <c r="F1325" s="2" t="s">
        <v>145</v>
      </c>
    </row>
    <row r="1326" spans="1:6">
      <c r="A1326" t="s">
        <v>125</v>
      </c>
      <c r="B1326" s="2" t="s">
        <v>535</v>
      </c>
      <c r="C1326" s="2" t="s">
        <v>1025</v>
      </c>
      <c r="D1326" s="2" t="s">
        <v>164</v>
      </c>
      <c r="E1326" s="2" t="s">
        <v>1082</v>
      </c>
      <c r="F1326" s="2" t="s">
        <v>145</v>
      </c>
    </row>
    <row r="1327" spans="1:6">
      <c r="A1327" t="s">
        <v>125</v>
      </c>
      <c r="B1327" s="2" t="s">
        <v>535</v>
      </c>
      <c r="C1327" s="2" t="s">
        <v>1088</v>
      </c>
      <c r="D1327" s="2" t="s">
        <v>144</v>
      </c>
      <c r="E1327" s="2" t="s">
        <v>1082</v>
      </c>
      <c r="F1327" s="2" t="s">
        <v>145</v>
      </c>
    </row>
    <row r="1328" spans="1:6">
      <c r="A1328" t="s">
        <v>125</v>
      </c>
      <c r="B1328" s="2" t="s">
        <v>535</v>
      </c>
      <c r="C1328" s="2" t="s">
        <v>1089</v>
      </c>
      <c r="D1328" s="2" t="s">
        <v>144</v>
      </c>
      <c r="E1328" s="2" t="s">
        <v>1082</v>
      </c>
      <c r="F1328" s="2" t="s">
        <v>145</v>
      </c>
    </row>
    <row r="1329" spans="1:6">
      <c r="A1329" t="s">
        <v>125</v>
      </c>
      <c r="B1329" s="2" t="s">
        <v>535</v>
      </c>
      <c r="C1329" s="2" t="s">
        <v>1090</v>
      </c>
      <c r="D1329" s="2" t="s">
        <v>144</v>
      </c>
      <c r="E1329" s="2" t="s">
        <v>1082</v>
      </c>
      <c r="F1329" s="2" t="s">
        <v>145</v>
      </c>
    </row>
    <row r="1330" spans="1:6">
      <c r="A1330" t="s">
        <v>125</v>
      </c>
      <c r="B1330" s="2" t="s">
        <v>535</v>
      </c>
      <c r="C1330" s="2" t="s">
        <v>1091</v>
      </c>
      <c r="D1330" s="2" t="s">
        <v>144</v>
      </c>
      <c r="E1330" s="2" t="s">
        <v>1082</v>
      </c>
      <c r="F1330" s="2" t="s">
        <v>145</v>
      </c>
    </row>
    <row r="1331" spans="1:6">
      <c r="A1331" t="s">
        <v>125</v>
      </c>
      <c r="B1331" s="2" t="s">
        <v>10</v>
      </c>
      <c r="C1331" s="2" t="s">
        <v>112</v>
      </c>
      <c r="D1331" s="2" t="s">
        <v>217</v>
      </c>
      <c r="E1331" s="2" t="s">
        <v>1092</v>
      </c>
      <c r="F1331" s="2" t="s">
        <v>145</v>
      </c>
    </row>
    <row r="1332" spans="1:6">
      <c r="A1332" t="s">
        <v>125</v>
      </c>
      <c r="B1332" s="2" t="s">
        <v>10</v>
      </c>
      <c r="C1332" s="2" t="s">
        <v>127</v>
      </c>
      <c r="D1332" s="2" t="s">
        <v>164</v>
      </c>
      <c r="E1332" s="2" t="s">
        <v>1092</v>
      </c>
      <c r="F1332" s="2" t="s">
        <v>145</v>
      </c>
    </row>
    <row r="1333" spans="1:6">
      <c r="A1333" t="s">
        <v>125</v>
      </c>
      <c r="B1333" s="2" t="s">
        <v>10</v>
      </c>
      <c r="C1333" s="2" t="s">
        <v>126</v>
      </c>
      <c r="D1333" s="2" t="s">
        <v>144</v>
      </c>
      <c r="E1333" s="2" t="s">
        <v>1092</v>
      </c>
      <c r="F1333" s="2" t="s">
        <v>145</v>
      </c>
    </row>
    <row r="1334" spans="1:6">
      <c r="A1334" t="s">
        <v>125</v>
      </c>
      <c r="B1334" s="2" t="s">
        <v>10</v>
      </c>
      <c r="C1334" s="2" t="s">
        <v>128</v>
      </c>
      <c r="D1334" s="2" t="s">
        <v>144</v>
      </c>
      <c r="E1334" s="2" t="s">
        <v>1092</v>
      </c>
      <c r="F1334" s="2" t="s">
        <v>145</v>
      </c>
    </row>
    <row r="1335" spans="1:6">
      <c r="A1335" t="s">
        <v>125</v>
      </c>
      <c r="B1335" s="2" t="s">
        <v>10</v>
      </c>
      <c r="C1335" s="2" t="s">
        <v>129</v>
      </c>
      <c r="D1335" s="2" t="s">
        <v>144</v>
      </c>
      <c r="E1335" s="2" t="s">
        <v>1092</v>
      </c>
      <c r="F1335" s="2" t="s">
        <v>145</v>
      </c>
    </row>
    <row r="1336" spans="1:6">
      <c r="A1336" t="s">
        <v>125</v>
      </c>
      <c r="B1336" s="2" t="s">
        <v>10</v>
      </c>
      <c r="C1336" s="2" t="s">
        <v>131</v>
      </c>
      <c r="D1336" s="2" t="s">
        <v>144</v>
      </c>
      <c r="E1336" s="2" t="s">
        <v>1092</v>
      </c>
      <c r="F1336" s="2" t="s">
        <v>145</v>
      </c>
    </row>
    <row r="1337" spans="1:6">
      <c r="A1337" t="s">
        <v>125</v>
      </c>
      <c r="B1337" s="2" t="s">
        <v>10</v>
      </c>
      <c r="C1337" s="2" t="s">
        <v>130</v>
      </c>
      <c r="D1337" s="2" t="s">
        <v>144</v>
      </c>
      <c r="E1337" s="2" t="s">
        <v>1092</v>
      </c>
      <c r="F1337" s="2" t="s">
        <v>145</v>
      </c>
    </row>
    <row r="1338" spans="1:6">
      <c r="A1338" t="s">
        <v>125</v>
      </c>
      <c r="B1338" s="2" t="s">
        <v>647</v>
      </c>
      <c r="C1338" s="2" t="s">
        <v>1014</v>
      </c>
      <c r="D1338" s="2" t="s">
        <v>217</v>
      </c>
      <c r="E1338" s="2" t="s">
        <v>1093</v>
      </c>
      <c r="F1338" s="2" t="s">
        <v>647</v>
      </c>
    </row>
    <row r="1339" spans="1:6">
      <c r="A1339" t="s">
        <v>125</v>
      </c>
      <c r="B1339" s="2" t="s">
        <v>647</v>
      </c>
      <c r="C1339" s="2" t="s">
        <v>1073</v>
      </c>
      <c r="D1339" s="2" t="s">
        <v>217</v>
      </c>
      <c r="E1339" s="2" t="s">
        <v>1093</v>
      </c>
      <c r="F1339" s="2" t="s">
        <v>647</v>
      </c>
    </row>
    <row r="1340" spans="1:6">
      <c r="A1340" t="s">
        <v>125</v>
      </c>
      <c r="B1340" s="2" t="s">
        <v>647</v>
      </c>
      <c r="C1340" s="2" t="s">
        <v>1065</v>
      </c>
      <c r="D1340" s="2" t="s">
        <v>164</v>
      </c>
      <c r="E1340" s="2" t="s">
        <v>1093</v>
      </c>
      <c r="F1340" s="2" t="s">
        <v>647</v>
      </c>
    </row>
    <row r="1341" spans="1:6">
      <c r="A1341" t="s">
        <v>125</v>
      </c>
      <c r="B1341" s="2" t="s">
        <v>647</v>
      </c>
      <c r="C1341" s="2" t="s">
        <v>1094</v>
      </c>
      <c r="D1341" s="2" t="s">
        <v>144</v>
      </c>
      <c r="E1341" s="2" t="s">
        <v>1093</v>
      </c>
      <c r="F1341" s="2" t="s">
        <v>647</v>
      </c>
    </row>
    <row r="1342" spans="1:6">
      <c r="A1342" t="s">
        <v>125</v>
      </c>
      <c r="B1342" s="2" t="s">
        <v>647</v>
      </c>
      <c r="C1342" s="2" t="s">
        <v>1095</v>
      </c>
      <c r="D1342" s="2" t="s">
        <v>144</v>
      </c>
      <c r="E1342" s="2" t="s">
        <v>1093</v>
      </c>
      <c r="F1342" s="2" t="s">
        <v>647</v>
      </c>
    </row>
    <row r="1343" spans="1:6">
      <c r="A1343" t="s">
        <v>125</v>
      </c>
      <c r="B1343" s="2" t="s">
        <v>647</v>
      </c>
      <c r="C1343" s="2" t="s">
        <v>1096</v>
      </c>
      <c r="D1343" s="2" t="s">
        <v>144</v>
      </c>
      <c r="E1343" s="2" t="s">
        <v>1093</v>
      </c>
      <c r="F1343" s="2" t="s">
        <v>647</v>
      </c>
    </row>
    <row r="1344" spans="1:6">
      <c r="A1344" t="s">
        <v>125</v>
      </c>
      <c r="B1344" s="2" t="s">
        <v>647</v>
      </c>
      <c r="C1344" s="2" t="s">
        <v>1097</v>
      </c>
      <c r="D1344" s="2" t="s">
        <v>144</v>
      </c>
      <c r="E1344" s="2" t="s">
        <v>1093</v>
      </c>
      <c r="F1344" s="2" t="s">
        <v>647</v>
      </c>
    </row>
    <row r="1345" spans="1:6">
      <c r="A1345" t="s">
        <v>125</v>
      </c>
      <c r="B1345" s="2" t="s">
        <v>924</v>
      </c>
      <c r="C1345" s="2" t="s">
        <v>969</v>
      </c>
      <c r="D1345" s="2" t="s">
        <v>217</v>
      </c>
      <c r="E1345" s="2"/>
      <c r="F1345" s="2" t="s">
        <v>145</v>
      </c>
    </row>
    <row r="1346" spans="1:6">
      <c r="A1346" t="s">
        <v>125</v>
      </c>
      <c r="B1346" s="2" t="s">
        <v>924</v>
      </c>
      <c r="C1346" s="2" t="s">
        <v>1052</v>
      </c>
      <c r="D1346" s="2" t="s">
        <v>144</v>
      </c>
      <c r="E1346" s="2"/>
      <c r="F1346" s="2" t="s">
        <v>145</v>
      </c>
    </row>
    <row r="1347" spans="1:6">
      <c r="A1347" t="s">
        <v>125</v>
      </c>
      <c r="B1347" s="2" t="s">
        <v>924</v>
      </c>
      <c r="C1347" s="2" t="s">
        <v>1054</v>
      </c>
      <c r="D1347" s="2" t="s">
        <v>144</v>
      </c>
      <c r="E1347" s="2"/>
      <c r="F1347" s="2" t="s">
        <v>145</v>
      </c>
    </row>
    <row r="1348" spans="1:6">
      <c r="A1348" t="s">
        <v>125</v>
      </c>
      <c r="B1348" s="2" t="s">
        <v>924</v>
      </c>
      <c r="C1348" s="2" t="s">
        <v>136</v>
      </c>
      <c r="D1348" s="2" t="s">
        <v>144</v>
      </c>
      <c r="E1348" s="2"/>
      <c r="F1348" s="2" t="s">
        <v>145</v>
      </c>
    </row>
    <row r="1349" spans="1:6">
      <c r="A1349" t="s">
        <v>125</v>
      </c>
      <c r="B1349" s="2" t="s">
        <v>924</v>
      </c>
      <c r="C1349" s="2" t="s">
        <v>1059</v>
      </c>
      <c r="D1349" s="2" t="s">
        <v>144</v>
      </c>
      <c r="E1349" s="2"/>
      <c r="F1349" s="2" t="s">
        <v>145</v>
      </c>
    </row>
    <row r="1350" spans="1:6">
      <c r="A1350" t="s">
        <v>125</v>
      </c>
      <c r="B1350" s="2" t="s">
        <v>158</v>
      </c>
      <c r="C1350" s="2" t="s">
        <v>257</v>
      </c>
      <c r="D1350" s="2" t="s">
        <v>160</v>
      </c>
      <c r="E1350" s="2"/>
      <c r="F1350" s="2" t="s">
        <v>145</v>
      </c>
    </row>
    <row r="1351" spans="1:6">
      <c r="A1351" t="s">
        <v>125</v>
      </c>
      <c r="B1351" s="2" t="s">
        <v>158</v>
      </c>
      <c r="C1351" s="2" t="s">
        <v>69</v>
      </c>
      <c r="D1351" s="2" t="s">
        <v>1098</v>
      </c>
      <c r="E1351" s="2"/>
      <c r="F1351" s="2" t="s">
        <v>145</v>
      </c>
    </row>
    <row r="1352" spans="1:6">
      <c r="A1352" t="s">
        <v>125</v>
      </c>
      <c r="B1352" s="2" t="s">
        <v>158</v>
      </c>
      <c r="C1352" s="2" t="s">
        <v>887</v>
      </c>
      <c r="D1352" s="2" t="s">
        <v>836</v>
      </c>
      <c r="E1352" s="2"/>
      <c r="F1352" s="2" t="s">
        <v>337</v>
      </c>
    </row>
    <row r="1353" spans="1:6">
      <c r="A1353" t="s">
        <v>125</v>
      </c>
      <c r="B1353" s="2" t="s">
        <v>158</v>
      </c>
      <c r="C1353" t="s">
        <v>112</v>
      </c>
      <c r="D1353" t="s">
        <v>217</v>
      </c>
      <c r="F1353" s="2" t="s">
        <v>145</v>
      </c>
    </row>
    <row r="1354" spans="1:6">
      <c r="A1354" t="s">
        <v>125</v>
      </c>
      <c r="B1354" s="2" t="s">
        <v>158</v>
      </c>
      <c r="C1354" t="s">
        <v>115</v>
      </c>
      <c r="D1354" t="s">
        <v>217</v>
      </c>
      <c r="F1354" s="2" t="s">
        <v>145</v>
      </c>
    </row>
    <row r="1355" spans="1:6">
      <c r="A1355" t="s">
        <v>125</v>
      </c>
      <c r="B1355" s="2" t="s">
        <v>158</v>
      </c>
      <c r="C1355" t="s">
        <v>1073</v>
      </c>
      <c r="D1355" t="s">
        <v>217</v>
      </c>
      <c r="F1355" s="2" t="s">
        <v>145</v>
      </c>
    </row>
    <row r="1356" spans="1:6">
      <c r="A1356" t="s">
        <v>125</v>
      </c>
      <c r="B1356" s="2" t="s">
        <v>158</v>
      </c>
      <c r="C1356" t="s">
        <v>1014</v>
      </c>
      <c r="D1356" t="s">
        <v>217</v>
      </c>
      <c r="F1356" s="2" t="s">
        <v>145</v>
      </c>
    </row>
    <row r="1357" spans="1:6">
      <c r="A1357" t="s">
        <v>1099</v>
      </c>
      <c r="B1357" s="2" t="s">
        <v>384</v>
      </c>
      <c r="C1357" s="2" t="s">
        <v>1073</v>
      </c>
      <c r="D1357" s="2" t="s">
        <v>217</v>
      </c>
      <c r="F1357" s="10" t="s">
        <v>145</v>
      </c>
    </row>
    <row r="1358" spans="1:6">
      <c r="A1358" t="s">
        <v>1099</v>
      </c>
      <c r="B1358" t="s">
        <v>384</v>
      </c>
      <c r="C1358" t="s">
        <v>1074</v>
      </c>
      <c r="D1358" t="s">
        <v>164</v>
      </c>
      <c r="F1358" s="10" t="s">
        <v>145</v>
      </c>
    </row>
    <row r="1359" spans="1:6">
      <c r="A1359" t="s">
        <v>1099</v>
      </c>
      <c r="B1359" t="s">
        <v>384</v>
      </c>
      <c r="C1359" t="s">
        <v>1100</v>
      </c>
      <c r="D1359" t="s">
        <v>144</v>
      </c>
      <c r="E1359" t="s">
        <v>1101</v>
      </c>
      <c r="F1359" s="10" t="s">
        <v>145</v>
      </c>
    </row>
    <row r="1360" spans="1:6">
      <c r="A1360" t="s">
        <v>1099</v>
      </c>
      <c r="B1360" t="s">
        <v>384</v>
      </c>
      <c r="C1360" t="s">
        <v>1102</v>
      </c>
      <c r="D1360" t="s">
        <v>144</v>
      </c>
      <c r="E1360" t="s">
        <v>1103</v>
      </c>
      <c r="F1360" s="10" t="s">
        <v>145</v>
      </c>
    </row>
    <row r="1361" spans="1:6">
      <c r="A1361" t="s">
        <v>1099</v>
      </c>
      <c r="B1361" t="s">
        <v>384</v>
      </c>
      <c r="C1361" t="s">
        <v>1104</v>
      </c>
      <c r="D1361" t="s">
        <v>144</v>
      </c>
      <c r="E1361" t="s">
        <v>1105</v>
      </c>
      <c r="F1361" s="10" t="s">
        <v>145</v>
      </c>
    </row>
    <row r="1362" spans="1:6">
      <c r="A1362" t="s">
        <v>1099</v>
      </c>
      <c r="B1362" t="s">
        <v>1106</v>
      </c>
      <c r="C1362" t="s">
        <v>1014</v>
      </c>
      <c r="D1362" t="s">
        <v>217</v>
      </c>
      <c r="E1362" t="s">
        <v>1107</v>
      </c>
      <c r="F1362" s="10" t="s">
        <v>145</v>
      </c>
    </row>
    <row r="1363" spans="1:6">
      <c r="A1363" t="s">
        <v>1099</v>
      </c>
      <c r="B1363" t="s">
        <v>535</v>
      </c>
      <c r="C1363" t="s">
        <v>1089</v>
      </c>
      <c r="D1363" t="s">
        <v>164</v>
      </c>
      <c r="E1363" t="s">
        <v>1107</v>
      </c>
      <c r="F1363" s="10" t="s">
        <v>145</v>
      </c>
    </row>
    <row r="1364" spans="1:6">
      <c r="A1364" t="s">
        <v>1099</v>
      </c>
      <c r="B1364" t="s">
        <v>535</v>
      </c>
      <c r="C1364" t="s">
        <v>1108</v>
      </c>
      <c r="D1364" t="s">
        <v>144</v>
      </c>
      <c r="E1364" t="s">
        <v>1107</v>
      </c>
      <c r="F1364" s="10" t="s">
        <v>145</v>
      </c>
    </row>
    <row r="1365" spans="1:6">
      <c r="A1365" t="s">
        <v>1099</v>
      </c>
      <c r="B1365" t="s">
        <v>535</v>
      </c>
      <c r="C1365" t="s">
        <v>1109</v>
      </c>
      <c r="D1365" t="s">
        <v>144</v>
      </c>
      <c r="E1365" t="s">
        <v>1107</v>
      </c>
      <c r="F1365" s="10" t="s">
        <v>145</v>
      </c>
    </row>
    <row r="1366" spans="1:6">
      <c r="A1366" t="s">
        <v>1099</v>
      </c>
      <c r="B1366" t="s">
        <v>535</v>
      </c>
      <c r="C1366" t="s">
        <v>1110</v>
      </c>
      <c r="D1366" t="s">
        <v>144</v>
      </c>
      <c r="E1366" t="s">
        <v>1107</v>
      </c>
      <c r="F1366" s="10" t="s">
        <v>145</v>
      </c>
    </row>
    <row r="1367" spans="1:6">
      <c r="A1367" t="s">
        <v>1099</v>
      </c>
      <c r="B1367" t="s">
        <v>535</v>
      </c>
      <c r="C1367" t="s">
        <v>1111</v>
      </c>
      <c r="D1367" t="s">
        <v>144</v>
      </c>
      <c r="E1367" t="s">
        <v>1107</v>
      </c>
      <c r="F1367" s="10" t="s">
        <v>145</v>
      </c>
    </row>
    <row r="1368" spans="1:6">
      <c r="A1368" t="s">
        <v>1099</v>
      </c>
      <c r="B1368" t="s">
        <v>1112</v>
      </c>
      <c r="C1368" t="s">
        <v>1083</v>
      </c>
      <c r="D1368" t="s">
        <v>164</v>
      </c>
      <c r="E1368" t="s">
        <v>1107</v>
      </c>
      <c r="F1368" s="10" t="s">
        <v>145</v>
      </c>
    </row>
    <row r="1369" spans="1:6">
      <c r="A1369" t="s">
        <v>1099</v>
      </c>
      <c r="B1369" t="s">
        <v>1112</v>
      </c>
      <c r="C1369" t="s">
        <v>1113</v>
      </c>
      <c r="D1369" t="s">
        <v>144</v>
      </c>
      <c r="E1369" t="s">
        <v>1107</v>
      </c>
      <c r="F1369" s="10" t="s">
        <v>145</v>
      </c>
    </row>
    <row r="1370" spans="1:6">
      <c r="A1370" t="s">
        <v>1099</v>
      </c>
      <c r="B1370" t="s">
        <v>1112</v>
      </c>
      <c r="C1370" t="s">
        <v>1114</v>
      </c>
      <c r="D1370" t="s">
        <v>144</v>
      </c>
      <c r="E1370" t="s">
        <v>1107</v>
      </c>
      <c r="F1370" s="10" t="s">
        <v>145</v>
      </c>
    </row>
    <row r="1371" spans="1:6">
      <c r="A1371" t="s">
        <v>1099</v>
      </c>
      <c r="B1371" t="s">
        <v>1112</v>
      </c>
      <c r="C1371" t="s">
        <v>1115</v>
      </c>
      <c r="D1371" t="s">
        <v>144</v>
      </c>
      <c r="E1371" t="s">
        <v>1107</v>
      </c>
      <c r="F1371" s="10" t="s">
        <v>145</v>
      </c>
    </row>
    <row r="1372" spans="1:6">
      <c r="A1372" t="s">
        <v>1099</v>
      </c>
      <c r="B1372" t="s">
        <v>1112</v>
      </c>
      <c r="C1372" t="s">
        <v>1116</v>
      </c>
      <c r="D1372" t="s">
        <v>144</v>
      </c>
      <c r="E1372" t="s">
        <v>1107</v>
      </c>
      <c r="F1372" s="10" t="s">
        <v>145</v>
      </c>
    </row>
    <row r="1373" spans="1:6">
      <c r="A1373" t="s">
        <v>1099</v>
      </c>
      <c r="B1373" t="s">
        <v>1112</v>
      </c>
      <c r="C1373" t="s">
        <v>1117</v>
      </c>
      <c r="D1373" t="s">
        <v>144</v>
      </c>
      <c r="E1373" t="s">
        <v>1107</v>
      </c>
      <c r="F1373" s="10" t="s">
        <v>145</v>
      </c>
    </row>
    <row r="1374" spans="1:6">
      <c r="A1374" t="s">
        <v>1099</v>
      </c>
      <c r="B1374" t="s">
        <v>1118</v>
      </c>
      <c r="C1374" t="s">
        <v>115</v>
      </c>
      <c r="D1374" t="s">
        <v>217</v>
      </c>
      <c r="E1374" t="s">
        <v>1119</v>
      </c>
      <c r="F1374" s="2" t="s">
        <v>145</v>
      </c>
    </row>
    <row r="1375" spans="1:6">
      <c r="A1375" t="s">
        <v>1099</v>
      </c>
      <c r="B1375" t="s">
        <v>1118</v>
      </c>
      <c r="C1375" t="s">
        <v>1088</v>
      </c>
      <c r="D1375" t="s">
        <v>164</v>
      </c>
      <c r="E1375" t="s">
        <v>1119</v>
      </c>
      <c r="F1375" s="2" t="s">
        <v>145</v>
      </c>
    </row>
    <row r="1376" spans="1:6">
      <c r="A1376" t="s">
        <v>1099</v>
      </c>
      <c r="B1376" t="s">
        <v>1118</v>
      </c>
      <c r="C1376" t="s">
        <v>1120</v>
      </c>
      <c r="D1376" t="s">
        <v>144</v>
      </c>
      <c r="E1376" t="s">
        <v>1119</v>
      </c>
      <c r="F1376" s="2" t="s">
        <v>145</v>
      </c>
    </row>
    <row r="1377" spans="1:6">
      <c r="A1377" t="s">
        <v>1099</v>
      </c>
      <c r="B1377" t="s">
        <v>1118</v>
      </c>
      <c r="C1377" t="s">
        <v>1121</v>
      </c>
      <c r="D1377" t="s">
        <v>144</v>
      </c>
      <c r="E1377" t="s">
        <v>1119</v>
      </c>
      <c r="F1377" s="2" t="s">
        <v>145</v>
      </c>
    </row>
    <row r="1378" spans="1:6">
      <c r="A1378" t="s">
        <v>1099</v>
      </c>
      <c r="B1378" t="s">
        <v>1118</v>
      </c>
      <c r="C1378" t="s">
        <v>1122</v>
      </c>
      <c r="D1378" t="s">
        <v>144</v>
      </c>
      <c r="E1378" t="s">
        <v>1119</v>
      </c>
      <c r="F1378" s="2" t="s">
        <v>145</v>
      </c>
    </row>
    <row r="1379" spans="1:6">
      <c r="A1379" t="s">
        <v>1099</v>
      </c>
      <c r="B1379" t="s">
        <v>1118</v>
      </c>
      <c r="C1379" t="s">
        <v>1123</v>
      </c>
      <c r="D1379" t="s">
        <v>144</v>
      </c>
      <c r="E1379" t="s">
        <v>1119</v>
      </c>
      <c r="F1379" s="2" t="s">
        <v>145</v>
      </c>
    </row>
    <row r="1380" spans="1:6">
      <c r="A1380" t="s">
        <v>1099</v>
      </c>
      <c r="B1380" t="s">
        <v>1124</v>
      </c>
      <c r="C1380" t="s">
        <v>112</v>
      </c>
      <c r="D1380" t="s">
        <v>217</v>
      </c>
      <c r="E1380" t="s">
        <v>1125</v>
      </c>
      <c r="F1380" s="2" t="s">
        <v>145</v>
      </c>
    </row>
    <row r="1381" spans="1:6">
      <c r="A1381" t="s">
        <v>1099</v>
      </c>
      <c r="B1381" t="s">
        <v>1124</v>
      </c>
      <c r="C1381" t="s">
        <v>128</v>
      </c>
      <c r="D1381" t="s">
        <v>164</v>
      </c>
      <c r="E1381" t="s">
        <v>1125</v>
      </c>
      <c r="F1381" s="10" t="s">
        <v>145</v>
      </c>
    </row>
    <row r="1382" spans="1:6">
      <c r="A1382" t="s">
        <v>1099</v>
      </c>
      <c r="B1382" t="s">
        <v>1124</v>
      </c>
      <c r="C1382" t="s">
        <v>1126</v>
      </c>
      <c r="D1382" t="s">
        <v>144</v>
      </c>
      <c r="E1382" t="s">
        <v>1125</v>
      </c>
      <c r="F1382" s="10" t="s">
        <v>145</v>
      </c>
    </row>
    <row r="1383" spans="1:6">
      <c r="A1383" t="s">
        <v>1099</v>
      </c>
      <c r="B1383" t="s">
        <v>1124</v>
      </c>
      <c r="C1383" t="s">
        <v>1127</v>
      </c>
      <c r="D1383" t="s">
        <v>144</v>
      </c>
      <c r="E1383" t="s">
        <v>1125</v>
      </c>
      <c r="F1383" s="10" t="s">
        <v>145</v>
      </c>
    </row>
    <row r="1384" spans="1:6">
      <c r="A1384" t="s">
        <v>1099</v>
      </c>
      <c r="B1384" t="s">
        <v>1124</v>
      </c>
      <c r="C1384" t="s">
        <v>1128</v>
      </c>
      <c r="D1384" t="s">
        <v>144</v>
      </c>
      <c r="E1384" t="s">
        <v>1125</v>
      </c>
      <c r="F1384" s="10" t="s">
        <v>145</v>
      </c>
    </row>
    <row r="1385" spans="1:6">
      <c r="A1385" t="s">
        <v>1099</v>
      </c>
      <c r="B1385" t="s">
        <v>1124</v>
      </c>
      <c r="C1385" t="s">
        <v>1129</v>
      </c>
      <c r="D1385" t="s">
        <v>144</v>
      </c>
      <c r="E1385" t="s">
        <v>1125</v>
      </c>
      <c r="F1385" s="10" t="s">
        <v>145</v>
      </c>
    </row>
    <row r="1386" spans="1:6">
      <c r="A1386" t="s">
        <v>1099</v>
      </c>
      <c r="B1386" t="s">
        <v>647</v>
      </c>
      <c r="C1386" t="s">
        <v>1073</v>
      </c>
      <c r="D1386" t="s">
        <v>217</v>
      </c>
      <c r="E1386" t="s">
        <v>1130</v>
      </c>
      <c r="F1386" t="s">
        <v>647</v>
      </c>
    </row>
    <row r="1387" spans="1:6">
      <c r="A1387" t="s">
        <v>1099</v>
      </c>
      <c r="B1387" t="s">
        <v>647</v>
      </c>
      <c r="C1387" t="s">
        <v>1014</v>
      </c>
      <c r="D1387" t="s">
        <v>217</v>
      </c>
      <c r="E1387" t="s">
        <v>1130</v>
      </c>
      <c r="F1387" t="s">
        <v>647</v>
      </c>
    </row>
    <row r="1388" spans="1:6">
      <c r="A1388" t="s">
        <v>1099</v>
      </c>
      <c r="B1388" t="s">
        <v>647</v>
      </c>
      <c r="C1388" t="s">
        <v>1094</v>
      </c>
      <c r="D1388" t="s">
        <v>164</v>
      </c>
      <c r="E1388" t="s">
        <v>1130</v>
      </c>
      <c r="F1388" t="s">
        <v>647</v>
      </c>
    </row>
    <row r="1389" spans="1:6">
      <c r="A1389" t="s">
        <v>1099</v>
      </c>
      <c r="B1389" t="s">
        <v>647</v>
      </c>
      <c r="C1389" t="s">
        <v>1131</v>
      </c>
      <c r="D1389" t="s">
        <v>144</v>
      </c>
      <c r="E1389" t="s">
        <v>1130</v>
      </c>
      <c r="F1389" t="s">
        <v>647</v>
      </c>
    </row>
    <row r="1390" spans="1:6">
      <c r="A1390" t="s">
        <v>1099</v>
      </c>
      <c r="B1390" t="s">
        <v>647</v>
      </c>
      <c r="C1390" t="s">
        <v>1132</v>
      </c>
      <c r="D1390" t="s">
        <v>144</v>
      </c>
      <c r="E1390" t="s">
        <v>1130</v>
      </c>
      <c r="F1390" t="s">
        <v>647</v>
      </c>
    </row>
    <row r="1391" spans="1:6">
      <c r="A1391" t="s">
        <v>1099</v>
      </c>
      <c r="B1391" t="s">
        <v>647</v>
      </c>
      <c r="C1391" t="s">
        <v>1133</v>
      </c>
      <c r="D1391" t="s">
        <v>144</v>
      </c>
      <c r="E1391" t="s">
        <v>1130</v>
      </c>
      <c r="F1391" t="s">
        <v>647</v>
      </c>
    </row>
    <row r="1392" spans="1:6">
      <c r="A1392" t="s">
        <v>1099</v>
      </c>
      <c r="B1392" t="s">
        <v>647</v>
      </c>
      <c r="C1392" t="s">
        <v>1134</v>
      </c>
      <c r="D1392" t="s">
        <v>144</v>
      </c>
      <c r="E1392" t="s">
        <v>1130</v>
      </c>
      <c r="F1392" t="s">
        <v>647</v>
      </c>
    </row>
    <row r="1393" spans="1:6">
      <c r="A1393" t="s">
        <v>1099</v>
      </c>
      <c r="B1393" t="s">
        <v>924</v>
      </c>
      <c r="C1393" t="s">
        <v>969</v>
      </c>
      <c r="D1393" t="s">
        <v>217</v>
      </c>
      <c r="F1393" t="s">
        <v>145</v>
      </c>
    </row>
    <row r="1394" spans="1:6">
      <c r="A1394" t="s">
        <v>1099</v>
      </c>
      <c r="B1394" t="s">
        <v>924</v>
      </c>
      <c r="C1394" t="s">
        <v>1059</v>
      </c>
      <c r="D1394" t="s">
        <v>144</v>
      </c>
      <c r="F1394" t="s">
        <v>145</v>
      </c>
    </row>
    <row r="1395" spans="1:6">
      <c r="A1395" t="s">
        <v>1099</v>
      </c>
      <c r="B1395" t="s">
        <v>924</v>
      </c>
      <c r="C1395" t="s">
        <v>1135</v>
      </c>
      <c r="D1395" t="s">
        <v>144</v>
      </c>
      <c r="F1395" t="s">
        <v>145</v>
      </c>
    </row>
    <row r="1396" spans="1:6">
      <c r="A1396" t="s">
        <v>1099</v>
      </c>
      <c r="B1396" t="s">
        <v>924</v>
      </c>
      <c r="C1396" t="s">
        <v>1052</v>
      </c>
      <c r="D1396" t="s">
        <v>144</v>
      </c>
      <c r="F1396" t="s">
        <v>145</v>
      </c>
    </row>
    <row r="1397" spans="1:6">
      <c r="A1397" t="s">
        <v>1099</v>
      </c>
      <c r="B1397" t="s">
        <v>924</v>
      </c>
      <c r="C1397" t="s">
        <v>136</v>
      </c>
      <c r="D1397" t="s">
        <v>144</v>
      </c>
      <c r="F1397" t="s">
        <v>145</v>
      </c>
    </row>
    <row r="1398" spans="1:6">
      <c r="A1398" t="s">
        <v>1099</v>
      </c>
      <c r="B1398" t="s">
        <v>924</v>
      </c>
      <c r="C1398" t="s">
        <v>1061</v>
      </c>
      <c r="D1398" t="s">
        <v>144</v>
      </c>
      <c r="F1398" t="s">
        <v>145</v>
      </c>
    </row>
    <row r="1399" spans="1:6">
      <c r="A1399" t="s">
        <v>1099</v>
      </c>
      <c r="B1399" t="s">
        <v>924</v>
      </c>
      <c r="C1399" t="s">
        <v>1038</v>
      </c>
      <c r="D1399" t="s">
        <v>144</v>
      </c>
      <c r="F1399" t="s">
        <v>145</v>
      </c>
    </row>
    <row r="1400" spans="1:6">
      <c r="A1400" t="s">
        <v>1099</v>
      </c>
      <c r="B1400" t="s">
        <v>924</v>
      </c>
      <c r="C1400" t="s">
        <v>1051</v>
      </c>
      <c r="D1400" t="s">
        <v>144</v>
      </c>
      <c r="F1400" t="s">
        <v>145</v>
      </c>
    </row>
    <row r="1401" spans="1:6">
      <c r="A1401" t="s">
        <v>1099</v>
      </c>
      <c r="B1401" t="s">
        <v>924</v>
      </c>
      <c r="C1401" t="s">
        <v>1025</v>
      </c>
      <c r="D1401" t="s">
        <v>144</v>
      </c>
      <c r="F1401" t="s">
        <v>145</v>
      </c>
    </row>
    <row r="1402" spans="1:6">
      <c r="A1402" t="s">
        <v>1099</v>
      </c>
      <c r="B1402" t="s">
        <v>158</v>
      </c>
      <c r="C1402" t="s">
        <v>1014</v>
      </c>
      <c r="D1402" t="s">
        <v>217</v>
      </c>
      <c r="F1402" t="s">
        <v>145</v>
      </c>
    </row>
    <row r="1403" spans="1:6">
      <c r="A1403" t="s">
        <v>1099</v>
      </c>
      <c r="B1403" t="s">
        <v>158</v>
      </c>
      <c r="C1403" t="s">
        <v>115</v>
      </c>
      <c r="D1403" t="s">
        <v>217</v>
      </c>
      <c r="F1403" t="s">
        <v>145</v>
      </c>
    </row>
    <row r="1404" spans="1:6">
      <c r="A1404" t="s">
        <v>1099</v>
      </c>
      <c r="B1404" t="s">
        <v>158</v>
      </c>
      <c r="C1404" t="s">
        <v>969</v>
      </c>
      <c r="D1404" t="s">
        <v>217</v>
      </c>
      <c r="F1404" t="s">
        <v>145</v>
      </c>
    </row>
    <row r="1405" spans="1:6">
      <c r="A1405" t="s">
        <v>1099</v>
      </c>
      <c r="B1405" t="s">
        <v>158</v>
      </c>
      <c r="C1405" s="2" t="s">
        <v>887</v>
      </c>
      <c r="D1405" s="2" t="s">
        <v>836</v>
      </c>
      <c r="F1405" t="s">
        <v>337</v>
      </c>
    </row>
    <row r="1406" spans="1:6">
      <c r="A1406" t="s">
        <v>1099</v>
      </c>
      <c r="B1406" t="s">
        <v>158</v>
      </c>
      <c r="C1406" t="s">
        <v>112</v>
      </c>
      <c r="D1406" t="s">
        <v>217</v>
      </c>
      <c r="F1406" t="s">
        <v>145</v>
      </c>
    </row>
    <row r="1407" spans="1:6">
      <c r="A1407" t="s">
        <v>1099</v>
      </c>
      <c r="B1407" t="s">
        <v>158</v>
      </c>
      <c r="C1407" t="s">
        <v>1073</v>
      </c>
      <c r="D1407" t="s">
        <v>217</v>
      </c>
      <c r="F1407" t="s">
        <v>145</v>
      </c>
    </row>
    <row r="1408" spans="1:6">
      <c r="A1408" t="s">
        <v>1099</v>
      </c>
      <c r="B1408" t="s">
        <v>158</v>
      </c>
      <c r="C1408" t="s">
        <v>257</v>
      </c>
      <c r="D1408" s="2" t="s">
        <v>160</v>
      </c>
      <c r="F1408" t="s">
        <v>145</v>
      </c>
    </row>
    <row r="1409" spans="1:6">
      <c r="A1409" t="s">
        <v>1099</v>
      </c>
      <c r="B1409" t="s">
        <v>158</v>
      </c>
      <c r="C1409" t="s">
        <v>69</v>
      </c>
      <c r="D1409" s="2" t="s">
        <v>1098</v>
      </c>
      <c r="F1409" t="s">
        <v>145</v>
      </c>
    </row>
    <row r="1410" spans="1:6">
      <c r="A1410" t="s">
        <v>1136</v>
      </c>
      <c r="B1410" t="s">
        <v>1124</v>
      </c>
      <c r="C1410" t="s">
        <v>127</v>
      </c>
      <c r="D1410" t="s">
        <v>217</v>
      </c>
      <c r="E1410" t="s">
        <v>1137</v>
      </c>
      <c r="F1410" t="s">
        <v>145</v>
      </c>
    </row>
    <row r="1411" spans="1:6">
      <c r="A1411" t="s">
        <v>1136</v>
      </c>
      <c r="B1411" t="s">
        <v>1124</v>
      </c>
      <c r="C1411" t="s">
        <v>1127</v>
      </c>
      <c r="D1411" t="s">
        <v>164</v>
      </c>
      <c r="E1411" t="s">
        <v>1137</v>
      </c>
      <c r="F1411" t="s">
        <v>145</v>
      </c>
    </row>
    <row r="1412" spans="1:6">
      <c r="A1412" t="s">
        <v>1136</v>
      </c>
      <c r="B1412" t="s">
        <v>1124</v>
      </c>
      <c r="C1412" t="s">
        <v>1138</v>
      </c>
      <c r="D1412" t="s">
        <v>144</v>
      </c>
      <c r="E1412" t="s">
        <v>1137</v>
      </c>
      <c r="F1412" t="s">
        <v>145</v>
      </c>
    </row>
    <row r="1413" spans="1:6">
      <c r="A1413" t="s">
        <v>1136</v>
      </c>
      <c r="B1413" t="s">
        <v>1124</v>
      </c>
      <c r="C1413" t="s">
        <v>1139</v>
      </c>
      <c r="D1413" t="s">
        <v>144</v>
      </c>
      <c r="E1413" t="s">
        <v>1137</v>
      </c>
      <c r="F1413" t="s">
        <v>145</v>
      </c>
    </row>
    <row r="1414" spans="1:6">
      <c r="A1414" t="s">
        <v>1136</v>
      </c>
      <c r="B1414" t="s">
        <v>1124</v>
      </c>
      <c r="C1414" t="s">
        <v>1140</v>
      </c>
      <c r="D1414" t="s">
        <v>144</v>
      </c>
      <c r="E1414" t="s">
        <v>1137</v>
      </c>
      <c r="F1414" t="s">
        <v>145</v>
      </c>
    </row>
    <row r="1415" spans="1:6">
      <c r="A1415" t="s">
        <v>1136</v>
      </c>
      <c r="B1415" t="s">
        <v>1124</v>
      </c>
      <c r="C1415" t="s">
        <v>1141</v>
      </c>
      <c r="D1415" t="s">
        <v>144</v>
      </c>
      <c r="E1415" t="s">
        <v>1137</v>
      </c>
      <c r="F1415" t="s">
        <v>145</v>
      </c>
    </row>
    <row r="1416" spans="1:6">
      <c r="A1416" t="s">
        <v>1136</v>
      </c>
      <c r="B1416" t="s">
        <v>1124</v>
      </c>
      <c r="C1416" t="s">
        <v>1142</v>
      </c>
      <c r="D1416" t="s">
        <v>144</v>
      </c>
      <c r="E1416" t="s">
        <v>1137</v>
      </c>
      <c r="F1416" t="s">
        <v>145</v>
      </c>
    </row>
    <row r="1417" spans="1:6">
      <c r="A1417" t="s">
        <v>1136</v>
      </c>
      <c r="B1417" t="s">
        <v>1143</v>
      </c>
      <c r="C1417" t="s">
        <v>1014</v>
      </c>
      <c r="D1417" t="s">
        <v>217</v>
      </c>
      <c r="E1417" t="s">
        <v>1144</v>
      </c>
      <c r="F1417" t="s">
        <v>145</v>
      </c>
    </row>
    <row r="1418" spans="1:6">
      <c r="A1418" t="s">
        <v>1136</v>
      </c>
      <c r="B1418" t="s">
        <v>535</v>
      </c>
      <c r="C1418" t="s">
        <v>1110</v>
      </c>
      <c r="D1418" t="s">
        <v>164</v>
      </c>
      <c r="E1418" t="s">
        <v>1144</v>
      </c>
      <c r="F1418" t="s">
        <v>145</v>
      </c>
    </row>
    <row r="1419" spans="1:6">
      <c r="A1419" t="s">
        <v>1136</v>
      </c>
      <c r="B1419" t="s">
        <v>535</v>
      </c>
      <c r="C1419" t="s">
        <v>1145</v>
      </c>
      <c r="D1419" t="s">
        <v>144</v>
      </c>
      <c r="E1419" t="s">
        <v>1144</v>
      </c>
      <c r="F1419" t="s">
        <v>145</v>
      </c>
    </row>
    <row r="1420" spans="1:6">
      <c r="A1420" t="s">
        <v>1136</v>
      </c>
      <c r="B1420" t="s">
        <v>535</v>
      </c>
      <c r="C1420" t="s">
        <v>1146</v>
      </c>
      <c r="D1420" t="s">
        <v>144</v>
      </c>
      <c r="E1420" t="s">
        <v>1144</v>
      </c>
      <c r="F1420" t="s">
        <v>145</v>
      </c>
    </row>
    <row r="1421" spans="1:6">
      <c r="A1421" t="s">
        <v>1136</v>
      </c>
      <c r="B1421" t="s">
        <v>535</v>
      </c>
      <c r="C1421" t="s">
        <v>1147</v>
      </c>
      <c r="D1421" t="s">
        <v>144</v>
      </c>
      <c r="E1421" t="s">
        <v>1144</v>
      </c>
      <c r="F1421" t="s">
        <v>145</v>
      </c>
    </row>
    <row r="1422" spans="1:6">
      <c r="A1422" t="s">
        <v>1136</v>
      </c>
      <c r="B1422" t="s">
        <v>535</v>
      </c>
      <c r="C1422" t="s">
        <v>1148</v>
      </c>
      <c r="D1422" t="s">
        <v>144</v>
      </c>
      <c r="E1422" t="s">
        <v>1144</v>
      </c>
      <c r="F1422" t="s">
        <v>145</v>
      </c>
    </row>
    <row r="1423" spans="1:6">
      <c r="A1423" t="s">
        <v>1136</v>
      </c>
      <c r="B1423" t="s">
        <v>542</v>
      </c>
      <c r="C1423" t="s">
        <v>1113</v>
      </c>
      <c r="D1423" t="s">
        <v>164</v>
      </c>
      <c r="E1423" t="s">
        <v>1144</v>
      </c>
      <c r="F1423" t="s">
        <v>145</v>
      </c>
    </row>
    <row r="1424" spans="1:6">
      <c r="A1424" t="s">
        <v>1136</v>
      </c>
      <c r="B1424" t="s">
        <v>542</v>
      </c>
      <c r="C1424" t="s">
        <v>1149</v>
      </c>
      <c r="D1424" t="s">
        <v>144</v>
      </c>
      <c r="E1424" t="s">
        <v>1144</v>
      </c>
      <c r="F1424" t="s">
        <v>145</v>
      </c>
    </row>
    <row r="1425" spans="1:6">
      <c r="A1425" t="s">
        <v>1136</v>
      </c>
      <c r="B1425" t="s">
        <v>542</v>
      </c>
      <c r="C1425" t="s">
        <v>1150</v>
      </c>
      <c r="D1425" t="s">
        <v>144</v>
      </c>
      <c r="E1425" t="s">
        <v>1144</v>
      </c>
      <c r="F1425" t="s">
        <v>145</v>
      </c>
    </row>
    <row r="1426" spans="1:6">
      <c r="A1426" t="s">
        <v>1136</v>
      </c>
      <c r="B1426" t="s">
        <v>542</v>
      </c>
      <c r="C1426" t="s">
        <v>1151</v>
      </c>
      <c r="D1426" t="s">
        <v>144</v>
      </c>
      <c r="E1426" t="s">
        <v>1144</v>
      </c>
      <c r="F1426" t="s">
        <v>145</v>
      </c>
    </row>
    <row r="1427" spans="1:6">
      <c r="A1427" t="s">
        <v>1136</v>
      </c>
      <c r="B1427" t="s">
        <v>542</v>
      </c>
      <c r="C1427" t="s">
        <v>1152</v>
      </c>
      <c r="D1427" t="s">
        <v>144</v>
      </c>
      <c r="E1427" t="s">
        <v>1144</v>
      </c>
      <c r="F1427" t="s">
        <v>145</v>
      </c>
    </row>
    <row r="1428" spans="1:6">
      <c r="A1428" t="s">
        <v>1136</v>
      </c>
      <c r="B1428" t="s">
        <v>542</v>
      </c>
      <c r="C1428" t="s">
        <v>1153</v>
      </c>
      <c r="D1428" t="s">
        <v>144</v>
      </c>
      <c r="E1428" t="s">
        <v>1144</v>
      </c>
      <c r="F1428" t="s">
        <v>145</v>
      </c>
    </row>
    <row r="1429" spans="1:6">
      <c r="A1429" t="s">
        <v>1136</v>
      </c>
      <c r="B1429" t="s">
        <v>1154</v>
      </c>
      <c r="C1429" t="s">
        <v>1073</v>
      </c>
      <c r="D1429" t="s">
        <v>217</v>
      </c>
      <c r="E1429" t="s">
        <v>1155</v>
      </c>
      <c r="F1429" t="s">
        <v>145</v>
      </c>
    </row>
    <row r="1430" spans="1:6">
      <c r="A1430" t="s">
        <v>1136</v>
      </c>
      <c r="B1430" t="s">
        <v>1154</v>
      </c>
      <c r="C1430" t="s">
        <v>1104</v>
      </c>
      <c r="D1430" t="s">
        <v>164</v>
      </c>
      <c r="E1430" t="s">
        <v>1155</v>
      </c>
      <c r="F1430" t="s">
        <v>145</v>
      </c>
    </row>
    <row r="1431" spans="1:6">
      <c r="A1431" t="s">
        <v>1136</v>
      </c>
      <c r="B1431" t="s">
        <v>1154</v>
      </c>
      <c r="C1431" t="s">
        <v>1156</v>
      </c>
      <c r="D1431" t="s">
        <v>144</v>
      </c>
      <c r="E1431" t="s">
        <v>1155</v>
      </c>
      <c r="F1431" t="s">
        <v>145</v>
      </c>
    </row>
    <row r="1432" spans="1:6">
      <c r="A1432" t="s">
        <v>1136</v>
      </c>
      <c r="B1432" t="s">
        <v>1154</v>
      </c>
      <c r="C1432" t="s">
        <v>1157</v>
      </c>
      <c r="D1432" t="s">
        <v>144</v>
      </c>
      <c r="E1432" t="s">
        <v>1155</v>
      </c>
      <c r="F1432" t="s">
        <v>145</v>
      </c>
    </row>
    <row r="1433" spans="1:6">
      <c r="A1433" t="s">
        <v>1136</v>
      </c>
      <c r="B1433" t="s">
        <v>1154</v>
      </c>
      <c r="C1433" t="s">
        <v>1158</v>
      </c>
      <c r="D1433" t="s">
        <v>144</v>
      </c>
      <c r="E1433" t="s">
        <v>1155</v>
      </c>
      <c r="F1433" t="s">
        <v>145</v>
      </c>
    </row>
    <row r="1434" spans="1:6">
      <c r="A1434" t="s">
        <v>1136</v>
      </c>
      <c r="B1434" t="s">
        <v>1154</v>
      </c>
      <c r="C1434" t="s">
        <v>1159</v>
      </c>
      <c r="D1434" t="s">
        <v>144</v>
      </c>
      <c r="E1434" t="s">
        <v>1155</v>
      </c>
      <c r="F1434" t="s">
        <v>145</v>
      </c>
    </row>
    <row r="1435" spans="1:6">
      <c r="A1435" t="s">
        <v>1136</v>
      </c>
      <c r="B1435" t="s">
        <v>1154</v>
      </c>
      <c r="C1435" t="s">
        <v>1160</v>
      </c>
      <c r="D1435" t="s">
        <v>144</v>
      </c>
      <c r="E1435" t="s">
        <v>1155</v>
      </c>
      <c r="F1435" t="s">
        <v>145</v>
      </c>
    </row>
    <row r="1436" spans="1:6">
      <c r="A1436" t="s">
        <v>1136</v>
      </c>
      <c r="B1436" t="s">
        <v>924</v>
      </c>
      <c r="C1436" t="s">
        <v>1038</v>
      </c>
      <c r="D1436" t="s">
        <v>217</v>
      </c>
      <c r="F1436" t="s">
        <v>145</v>
      </c>
    </row>
    <row r="1437" spans="1:6">
      <c r="A1437" t="s">
        <v>1136</v>
      </c>
      <c r="B1437" t="s">
        <v>924</v>
      </c>
      <c r="C1437" t="s">
        <v>1052</v>
      </c>
      <c r="D1437" t="s">
        <v>164</v>
      </c>
      <c r="F1437" t="s">
        <v>145</v>
      </c>
    </row>
    <row r="1438" spans="1:6">
      <c r="A1438" t="s">
        <v>1136</v>
      </c>
      <c r="B1438" t="s">
        <v>924</v>
      </c>
      <c r="C1438" t="s">
        <v>1120</v>
      </c>
      <c r="D1438" t="s">
        <v>144</v>
      </c>
      <c r="F1438" t="s">
        <v>145</v>
      </c>
    </row>
    <row r="1439" spans="1:6">
      <c r="A1439" t="s">
        <v>1136</v>
      </c>
      <c r="B1439" t="s">
        <v>924</v>
      </c>
      <c r="C1439" t="s">
        <v>1135</v>
      </c>
      <c r="D1439" t="s">
        <v>144</v>
      </c>
      <c r="F1439" t="s">
        <v>145</v>
      </c>
    </row>
    <row r="1440" spans="1:6">
      <c r="A1440" t="s">
        <v>1136</v>
      </c>
      <c r="B1440" t="s">
        <v>924</v>
      </c>
      <c r="C1440" t="s">
        <v>1121</v>
      </c>
      <c r="D1440" t="s">
        <v>144</v>
      </c>
      <c r="F1440" t="s">
        <v>145</v>
      </c>
    </row>
    <row r="1441" spans="1:6">
      <c r="A1441" t="s">
        <v>1136</v>
      </c>
      <c r="B1441" t="s">
        <v>924</v>
      </c>
      <c r="C1441" t="s">
        <v>1122</v>
      </c>
      <c r="D1441" t="s">
        <v>144</v>
      </c>
      <c r="F1441" t="s">
        <v>145</v>
      </c>
    </row>
    <row r="1442" spans="1:6">
      <c r="A1442" t="s">
        <v>1136</v>
      </c>
      <c r="B1442" t="s">
        <v>924</v>
      </c>
      <c r="C1442" t="s">
        <v>1108</v>
      </c>
      <c r="D1442" t="s">
        <v>144</v>
      </c>
      <c r="F1442" t="s">
        <v>145</v>
      </c>
    </row>
    <row r="1443" spans="1:6">
      <c r="A1443" t="s">
        <v>1136</v>
      </c>
      <c r="B1443" t="s">
        <v>158</v>
      </c>
      <c r="C1443" s="2" t="s">
        <v>887</v>
      </c>
      <c r="D1443" s="2" t="s">
        <v>836</v>
      </c>
      <c r="F1443" t="s">
        <v>337</v>
      </c>
    </row>
    <row r="1444" spans="1:6">
      <c r="A1444" t="s">
        <v>1136</v>
      </c>
      <c r="B1444" t="s">
        <v>158</v>
      </c>
      <c r="C1444" t="s">
        <v>69</v>
      </c>
      <c r="D1444" s="2" t="s">
        <v>1098</v>
      </c>
      <c r="F1444" t="s">
        <v>145</v>
      </c>
    </row>
    <row r="1445" spans="1:6">
      <c r="A1445" t="s">
        <v>1136</v>
      </c>
      <c r="B1445" t="s">
        <v>158</v>
      </c>
      <c r="C1445" t="s">
        <v>1161</v>
      </c>
      <c r="D1445" t="s">
        <v>160</v>
      </c>
      <c r="F1445" t="s">
        <v>145</v>
      </c>
    </row>
    <row r="1446" spans="1:6">
      <c r="A1446" t="s">
        <v>1136</v>
      </c>
      <c r="B1446" t="s">
        <v>158</v>
      </c>
      <c r="C1446" t="s">
        <v>1038</v>
      </c>
      <c r="D1446" t="s">
        <v>217</v>
      </c>
      <c r="F1446" t="s">
        <v>145</v>
      </c>
    </row>
    <row r="1447" spans="1:6">
      <c r="A1447" t="s">
        <v>1136</v>
      </c>
      <c r="B1447" t="s">
        <v>158</v>
      </c>
      <c r="C1447" t="s">
        <v>1014</v>
      </c>
      <c r="D1447" t="s">
        <v>162</v>
      </c>
      <c r="F1447" t="s">
        <v>145</v>
      </c>
    </row>
    <row r="1448" spans="1:6">
      <c r="A1448" t="s">
        <v>1136</v>
      </c>
      <c r="B1448" t="s">
        <v>158</v>
      </c>
      <c r="C1448" t="s">
        <v>1073</v>
      </c>
      <c r="D1448" t="s">
        <v>217</v>
      </c>
      <c r="F1448" t="s">
        <v>145</v>
      </c>
    </row>
    <row r="1449" spans="1:6">
      <c r="A1449" t="s">
        <v>1136</v>
      </c>
      <c r="B1449" t="s">
        <v>158</v>
      </c>
      <c r="C1449" t="s">
        <v>127</v>
      </c>
      <c r="D1449" t="s">
        <v>217</v>
      </c>
      <c r="F1449" t="s">
        <v>145</v>
      </c>
    </row>
    <row r="1450" spans="1:6">
      <c r="A1450" t="s">
        <v>1162</v>
      </c>
      <c r="B1450" t="s">
        <v>1163</v>
      </c>
      <c r="C1450" s="7" t="s">
        <v>1164</v>
      </c>
      <c r="D1450" t="s">
        <v>144</v>
      </c>
      <c r="E1450" s="7" t="s">
        <v>1165</v>
      </c>
      <c r="F1450" t="s">
        <v>337</v>
      </c>
    </row>
    <row r="1451" spans="1:6">
      <c r="A1451" t="s">
        <v>1162</v>
      </c>
      <c r="B1451" t="s">
        <v>1163</v>
      </c>
      <c r="C1451" s="7" t="s">
        <v>1166</v>
      </c>
      <c r="D1451" t="s">
        <v>144</v>
      </c>
      <c r="E1451" s="7" t="s">
        <v>1165</v>
      </c>
      <c r="F1451" t="s">
        <v>337</v>
      </c>
    </row>
    <row r="1452" spans="1:6">
      <c r="A1452" t="s">
        <v>1162</v>
      </c>
      <c r="B1452" t="s">
        <v>1163</v>
      </c>
      <c r="C1452" s="7" t="s">
        <v>1167</v>
      </c>
      <c r="D1452" t="s">
        <v>144</v>
      </c>
      <c r="E1452" s="7" t="s">
        <v>1165</v>
      </c>
      <c r="F1452" t="s">
        <v>337</v>
      </c>
    </row>
    <row r="1453" spans="1:6">
      <c r="A1453" t="s">
        <v>1162</v>
      </c>
      <c r="B1453" t="s">
        <v>1163</v>
      </c>
      <c r="C1453" s="7" t="s">
        <v>1168</v>
      </c>
      <c r="D1453" t="s">
        <v>144</v>
      </c>
      <c r="E1453" s="7" t="s">
        <v>1165</v>
      </c>
      <c r="F1453" t="s">
        <v>337</v>
      </c>
    </row>
    <row r="1454" spans="1:6">
      <c r="A1454" t="s">
        <v>1162</v>
      </c>
      <c r="B1454" t="s">
        <v>1163</v>
      </c>
      <c r="C1454" s="7" t="s">
        <v>1169</v>
      </c>
      <c r="D1454" t="s">
        <v>144</v>
      </c>
      <c r="E1454" s="7" t="s">
        <v>1165</v>
      </c>
      <c r="F1454" t="s">
        <v>337</v>
      </c>
    </row>
    <row r="1455" spans="1:6">
      <c r="A1455" t="s">
        <v>1162</v>
      </c>
      <c r="B1455" t="s">
        <v>1163</v>
      </c>
      <c r="C1455" s="7" t="s">
        <v>1170</v>
      </c>
      <c r="D1455" t="s">
        <v>144</v>
      </c>
      <c r="E1455" s="7" t="s">
        <v>1171</v>
      </c>
      <c r="F1455" t="s">
        <v>337</v>
      </c>
    </row>
    <row r="1456" spans="1:6">
      <c r="A1456" t="s">
        <v>1162</v>
      </c>
      <c r="B1456" t="s">
        <v>1163</v>
      </c>
      <c r="C1456" s="7" t="s">
        <v>1172</v>
      </c>
      <c r="D1456" t="s">
        <v>144</v>
      </c>
      <c r="E1456" s="7" t="s">
        <v>1171</v>
      </c>
      <c r="F1456" t="s">
        <v>337</v>
      </c>
    </row>
    <row r="1457" spans="1:6">
      <c r="A1457" t="s">
        <v>1162</v>
      </c>
      <c r="B1457" t="s">
        <v>1163</v>
      </c>
      <c r="C1457" s="7" t="s">
        <v>1173</v>
      </c>
      <c r="D1457" t="s">
        <v>144</v>
      </c>
      <c r="E1457" s="7" t="s">
        <v>1171</v>
      </c>
      <c r="F1457" t="s">
        <v>337</v>
      </c>
    </row>
    <row r="1458" spans="1:6">
      <c r="A1458" t="s">
        <v>1162</v>
      </c>
      <c r="B1458" t="s">
        <v>1163</v>
      </c>
      <c r="C1458" s="7" t="s">
        <v>1174</v>
      </c>
      <c r="D1458" t="s">
        <v>144</v>
      </c>
      <c r="E1458" s="7" t="s">
        <v>1171</v>
      </c>
      <c r="F1458" t="s">
        <v>337</v>
      </c>
    </row>
    <row r="1459" spans="1:6">
      <c r="A1459" t="s">
        <v>1162</v>
      </c>
      <c r="B1459" t="s">
        <v>1163</v>
      </c>
      <c r="C1459" s="7" t="s">
        <v>1175</v>
      </c>
      <c r="D1459" t="s">
        <v>144</v>
      </c>
      <c r="E1459" s="7" t="s">
        <v>1171</v>
      </c>
      <c r="F1459" t="s">
        <v>337</v>
      </c>
    </row>
    <row r="1460" spans="1:6">
      <c r="A1460" t="s">
        <v>1162</v>
      </c>
      <c r="B1460" t="s">
        <v>1163</v>
      </c>
      <c r="C1460" s="7" t="s">
        <v>1176</v>
      </c>
      <c r="D1460" t="s">
        <v>144</v>
      </c>
      <c r="E1460" s="7" t="s">
        <v>1177</v>
      </c>
      <c r="F1460" t="s">
        <v>337</v>
      </c>
    </row>
    <row r="1461" spans="1:6">
      <c r="A1461" t="s">
        <v>1162</v>
      </c>
      <c r="B1461" t="s">
        <v>1163</v>
      </c>
      <c r="C1461" s="7" t="s">
        <v>898</v>
      </c>
      <c r="D1461" t="s">
        <v>144</v>
      </c>
      <c r="E1461" s="7" t="s">
        <v>1177</v>
      </c>
      <c r="F1461" t="s">
        <v>337</v>
      </c>
    </row>
    <row r="1462" spans="1:6">
      <c r="A1462" t="s">
        <v>1162</v>
      </c>
      <c r="B1462" t="s">
        <v>1163</v>
      </c>
      <c r="C1462" s="7" t="s">
        <v>1178</v>
      </c>
      <c r="D1462" t="s">
        <v>144</v>
      </c>
      <c r="E1462" s="7" t="s">
        <v>1177</v>
      </c>
      <c r="F1462" t="s">
        <v>337</v>
      </c>
    </row>
    <row r="1463" spans="1:6">
      <c r="A1463" t="s">
        <v>1162</v>
      </c>
      <c r="B1463" t="s">
        <v>1163</v>
      </c>
      <c r="C1463" s="7" t="s">
        <v>1179</v>
      </c>
      <c r="D1463" t="s">
        <v>144</v>
      </c>
      <c r="E1463" s="7" t="s">
        <v>1177</v>
      </c>
      <c r="F1463" t="s">
        <v>337</v>
      </c>
    </row>
    <row r="1464" spans="1:6">
      <c r="A1464" t="s">
        <v>1162</v>
      </c>
      <c r="B1464" t="s">
        <v>1163</v>
      </c>
      <c r="C1464" s="7" t="s">
        <v>1180</v>
      </c>
      <c r="D1464" t="s">
        <v>144</v>
      </c>
      <c r="E1464" s="7" t="s">
        <v>1177</v>
      </c>
      <c r="F1464" t="s">
        <v>337</v>
      </c>
    </row>
    <row r="1465" spans="1:6">
      <c r="A1465" t="s">
        <v>1162</v>
      </c>
      <c r="B1465" t="s">
        <v>1163</v>
      </c>
      <c r="C1465" s="7" t="s">
        <v>1181</v>
      </c>
      <c r="D1465" t="s">
        <v>144</v>
      </c>
      <c r="E1465" s="7" t="s">
        <v>1182</v>
      </c>
      <c r="F1465" t="s">
        <v>337</v>
      </c>
    </row>
    <row r="1466" spans="1:6">
      <c r="A1466" t="s">
        <v>1162</v>
      </c>
      <c r="B1466" t="s">
        <v>1163</v>
      </c>
      <c r="C1466" s="7" t="s">
        <v>1183</v>
      </c>
      <c r="D1466" t="s">
        <v>144</v>
      </c>
      <c r="E1466" s="7" t="s">
        <v>1182</v>
      </c>
      <c r="F1466" t="s">
        <v>337</v>
      </c>
    </row>
    <row r="1467" spans="1:6">
      <c r="A1467" t="s">
        <v>1162</v>
      </c>
      <c r="B1467" t="s">
        <v>1163</v>
      </c>
      <c r="C1467" s="7" t="s">
        <v>1184</v>
      </c>
      <c r="D1467" t="s">
        <v>144</v>
      </c>
      <c r="E1467" s="7" t="s">
        <v>1182</v>
      </c>
      <c r="F1467" t="s">
        <v>337</v>
      </c>
    </row>
    <row r="1468" spans="1:6">
      <c r="A1468" t="s">
        <v>1162</v>
      </c>
      <c r="B1468" t="s">
        <v>1163</v>
      </c>
      <c r="C1468" s="7" t="s">
        <v>1185</v>
      </c>
      <c r="D1468" t="s">
        <v>144</v>
      </c>
      <c r="E1468" s="7" t="s">
        <v>1182</v>
      </c>
      <c r="F1468" t="s">
        <v>337</v>
      </c>
    </row>
    <row r="1469" spans="1:6">
      <c r="A1469" t="s">
        <v>1162</v>
      </c>
      <c r="B1469" t="s">
        <v>1163</v>
      </c>
      <c r="C1469" s="7" t="s">
        <v>886</v>
      </c>
      <c r="D1469" t="s">
        <v>144</v>
      </c>
      <c r="E1469" s="7" t="s">
        <v>1182</v>
      </c>
      <c r="F1469" t="s">
        <v>337</v>
      </c>
    </row>
    <row r="1470" spans="1:6">
      <c r="A1470" t="s">
        <v>1162</v>
      </c>
      <c r="B1470" t="s">
        <v>1163</v>
      </c>
      <c r="C1470" s="7" t="s">
        <v>742</v>
      </c>
      <c r="D1470" t="s">
        <v>164</v>
      </c>
      <c r="E1470" t="s">
        <v>1186</v>
      </c>
      <c r="F1470" t="s">
        <v>337</v>
      </c>
    </row>
    <row r="1471" spans="1:6">
      <c r="A1471" t="s">
        <v>1162</v>
      </c>
      <c r="B1471" t="s">
        <v>1163</v>
      </c>
      <c r="C1471" s="7" t="s">
        <v>623</v>
      </c>
      <c r="D1471" t="s">
        <v>164</v>
      </c>
      <c r="E1471" t="s">
        <v>1187</v>
      </c>
      <c r="F1471" t="s">
        <v>337</v>
      </c>
    </row>
    <row r="1472" spans="1:6">
      <c r="A1472" t="s">
        <v>1188</v>
      </c>
      <c r="B1472" t="s">
        <v>1163</v>
      </c>
      <c r="C1472" s="7" t="s">
        <v>1189</v>
      </c>
      <c r="D1472" t="s">
        <v>144</v>
      </c>
      <c r="F1472" t="s">
        <v>337</v>
      </c>
    </row>
    <row r="1473" spans="1:6">
      <c r="A1473" t="s">
        <v>1188</v>
      </c>
      <c r="B1473" t="s">
        <v>1163</v>
      </c>
      <c r="C1473" s="7" t="s">
        <v>1190</v>
      </c>
      <c r="D1473" t="s">
        <v>144</v>
      </c>
      <c r="F1473" t="s">
        <v>337</v>
      </c>
    </row>
    <row r="1474" spans="1:6">
      <c r="A1474" t="s">
        <v>1188</v>
      </c>
      <c r="B1474" t="s">
        <v>1163</v>
      </c>
      <c r="C1474" s="7" t="s">
        <v>1191</v>
      </c>
      <c r="D1474" t="s">
        <v>144</v>
      </c>
      <c r="F1474" t="s">
        <v>337</v>
      </c>
    </row>
    <row r="1475" spans="1:6">
      <c r="A1475" t="s">
        <v>1188</v>
      </c>
      <c r="B1475" t="s">
        <v>1163</v>
      </c>
      <c r="C1475" s="7" t="s">
        <v>1192</v>
      </c>
      <c r="D1475" t="s">
        <v>144</v>
      </c>
      <c r="F1475" t="s">
        <v>337</v>
      </c>
    </row>
    <row r="1476" spans="1:6">
      <c r="A1476" t="s">
        <v>1188</v>
      </c>
      <c r="B1476" t="s">
        <v>1163</v>
      </c>
      <c r="C1476" s="7" t="s">
        <v>1193</v>
      </c>
      <c r="D1476" t="s">
        <v>144</v>
      </c>
      <c r="F1476" t="s">
        <v>337</v>
      </c>
    </row>
    <row r="1477" spans="1:6">
      <c r="A1477" t="s">
        <v>1188</v>
      </c>
      <c r="B1477" t="s">
        <v>1163</v>
      </c>
      <c r="C1477" s="7" t="s">
        <v>1194</v>
      </c>
      <c r="D1477" t="s">
        <v>144</v>
      </c>
      <c r="F1477" t="s">
        <v>337</v>
      </c>
    </row>
    <row r="1478" spans="1:6">
      <c r="A1478" t="s">
        <v>1188</v>
      </c>
      <c r="B1478" t="s">
        <v>1163</v>
      </c>
      <c r="C1478" s="7" t="s">
        <v>1195</v>
      </c>
      <c r="D1478" t="s">
        <v>144</v>
      </c>
      <c r="F1478" t="s">
        <v>337</v>
      </c>
    </row>
    <row r="1479" spans="1:6">
      <c r="A1479" t="s">
        <v>1188</v>
      </c>
      <c r="B1479" t="s">
        <v>1163</v>
      </c>
      <c r="C1479" s="7" t="s">
        <v>1196</v>
      </c>
      <c r="D1479" t="s">
        <v>144</v>
      </c>
      <c r="F1479" t="s">
        <v>337</v>
      </c>
    </row>
    <row r="1480" spans="1:6">
      <c r="A1480" t="s">
        <v>1188</v>
      </c>
      <c r="B1480" t="s">
        <v>1163</v>
      </c>
      <c r="C1480" s="7" t="s">
        <v>980</v>
      </c>
      <c r="D1480" t="s">
        <v>144</v>
      </c>
      <c r="F1480" t="s">
        <v>337</v>
      </c>
    </row>
    <row r="1481" spans="1:6">
      <c r="A1481" t="s">
        <v>1188</v>
      </c>
      <c r="B1481" t="s">
        <v>1163</v>
      </c>
      <c r="C1481" s="7" t="s">
        <v>1197</v>
      </c>
      <c r="D1481" t="s">
        <v>144</v>
      </c>
      <c r="F1481" t="s">
        <v>337</v>
      </c>
    </row>
    <row r="1482" spans="1:6">
      <c r="A1482" t="s">
        <v>1188</v>
      </c>
      <c r="B1482" t="s">
        <v>1163</v>
      </c>
      <c r="C1482" s="7" t="s">
        <v>99</v>
      </c>
      <c r="D1482" t="s">
        <v>144</v>
      </c>
      <c r="F1482" t="s">
        <v>337</v>
      </c>
    </row>
    <row r="1483" spans="1:6">
      <c r="A1483" t="s">
        <v>1188</v>
      </c>
      <c r="B1483" t="s">
        <v>1163</v>
      </c>
      <c r="C1483" s="7" t="s">
        <v>1198</v>
      </c>
      <c r="D1483" t="s">
        <v>144</v>
      </c>
      <c r="F1483" t="s">
        <v>337</v>
      </c>
    </row>
    <row r="1484" spans="1:6">
      <c r="A1484" t="s">
        <v>1188</v>
      </c>
      <c r="B1484" t="s">
        <v>1163</v>
      </c>
      <c r="C1484" s="7" t="s">
        <v>1199</v>
      </c>
      <c r="D1484" t="s">
        <v>144</v>
      </c>
      <c r="F1484" t="s">
        <v>337</v>
      </c>
    </row>
    <row r="1485" spans="1:6">
      <c r="A1485" t="s">
        <v>1188</v>
      </c>
      <c r="B1485" t="s">
        <v>1163</v>
      </c>
      <c r="C1485" t="s">
        <v>886</v>
      </c>
      <c r="D1485" t="s">
        <v>164</v>
      </c>
      <c r="F1485" t="s">
        <v>337</v>
      </c>
    </row>
    <row r="1486" spans="1:6">
      <c r="A1486" t="s">
        <v>1188</v>
      </c>
      <c r="B1486" t="s">
        <v>1163</v>
      </c>
      <c r="C1486" t="s">
        <v>1181</v>
      </c>
      <c r="D1486" t="s">
        <v>164</v>
      </c>
      <c r="F1486" t="s">
        <v>337</v>
      </c>
    </row>
    <row r="1487" spans="1:6">
      <c r="A1487" t="s">
        <v>1200</v>
      </c>
      <c r="B1487" t="s">
        <v>1163</v>
      </c>
      <c r="C1487" s="7" t="s">
        <v>1201</v>
      </c>
      <c r="D1487" t="s">
        <v>144</v>
      </c>
      <c r="E1487" s="7" t="s">
        <v>1202</v>
      </c>
      <c r="F1487" t="s">
        <v>337</v>
      </c>
    </row>
    <row r="1488" spans="1:6">
      <c r="A1488" t="s">
        <v>1200</v>
      </c>
      <c r="B1488" t="s">
        <v>1163</v>
      </c>
      <c r="C1488" s="7" t="s">
        <v>973</v>
      </c>
      <c r="D1488" t="s">
        <v>144</v>
      </c>
      <c r="E1488" s="7" t="s">
        <v>1202</v>
      </c>
      <c r="F1488" t="s">
        <v>337</v>
      </c>
    </row>
    <row r="1489" spans="1:6">
      <c r="A1489" t="s">
        <v>1200</v>
      </c>
      <c r="B1489" t="s">
        <v>1163</v>
      </c>
      <c r="C1489" s="7" t="s">
        <v>1203</v>
      </c>
      <c r="D1489" t="s">
        <v>144</v>
      </c>
      <c r="E1489" s="7" t="s">
        <v>1202</v>
      </c>
      <c r="F1489" t="s">
        <v>337</v>
      </c>
    </row>
    <row r="1490" spans="1:6">
      <c r="A1490" t="s">
        <v>1200</v>
      </c>
      <c r="B1490" t="s">
        <v>1163</v>
      </c>
      <c r="C1490" s="7" t="s">
        <v>952</v>
      </c>
      <c r="D1490" t="s">
        <v>144</v>
      </c>
      <c r="E1490" s="7" t="s">
        <v>1202</v>
      </c>
      <c r="F1490" t="s">
        <v>337</v>
      </c>
    </row>
    <row r="1491" spans="1:6">
      <c r="A1491" t="s">
        <v>1200</v>
      </c>
      <c r="B1491" t="s">
        <v>1163</v>
      </c>
      <c r="C1491" s="7" t="s">
        <v>1204</v>
      </c>
      <c r="D1491" t="s">
        <v>144</v>
      </c>
      <c r="E1491" s="7" t="s">
        <v>1205</v>
      </c>
      <c r="F1491" t="s">
        <v>337</v>
      </c>
    </row>
    <row r="1492" spans="1:6">
      <c r="A1492" t="s">
        <v>1200</v>
      </c>
      <c r="B1492" t="s">
        <v>1163</v>
      </c>
      <c r="C1492" s="7" t="s">
        <v>1206</v>
      </c>
      <c r="D1492" t="s">
        <v>144</v>
      </c>
      <c r="E1492" s="7" t="s">
        <v>1205</v>
      </c>
      <c r="F1492" t="s">
        <v>337</v>
      </c>
    </row>
    <row r="1493" spans="1:6">
      <c r="A1493" t="s">
        <v>1200</v>
      </c>
      <c r="B1493" t="s">
        <v>1163</v>
      </c>
      <c r="C1493" s="7" t="s">
        <v>1207</v>
      </c>
      <c r="D1493" t="s">
        <v>144</v>
      </c>
      <c r="E1493" s="7" t="s">
        <v>1205</v>
      </c>
      <c r="F1493" t="s">
        <v>337</v>
      </c>
    </row>
    <row r="1494" spans="1:6">
      <c r="A1494" t="s">
        <v>1200</v>
      </c>
      <c r="B1494" t="s">
        <v>1163</v>
      </c>
      <c r="C1494" s="7" t="s">
        <v>1208</v>
      </c>
      <c r="D1494" t="s">
        <v>144</v>
      </c>
      <c r="E1494" s="7" t="s">
        <v>1205</v>
      </c>
      <c r="F1494" t="s">
        <v>337</v>
      </c>
    </row>
    <row r="1495" spans="1:6">
      <c r="A1495" t="s">
        <v>1200</v>
      </c>
      <c r="B1495" t="s">
        <v>1163</v>
      </c>
      <c r="C1495" s="7" t="s">
        <v>1209</v>
      </c>
      <c r="D1495" t="s">
        <v>144</v>
      </c>
      <c r="E1495" s="7" t="s">
        <v>1210</v>
      </c>
      <c r="F1495" t="s">
        <v>337</v>
      </c>
    </row>
    <row r="1496" spans="1:6">
      <c r="A1496" t="s">
        <v>1200</v>
      </c>
      <c r="B1496" t="s">
        <v>1163</v>
      </c>
      <c r="C1496" s="7" t="s">
        <v>1211</v>
      </c>
      <c r="D1496" t="s">
        <v>144</v>
      </c>
      <c r="E1496" s="7" t="s">
        <v>1210</v>
      </c>
      <c r="F1496" t="s">
        <v>337</v>
      </c>
    </row>
    <row r="1497" spans="1:6">
      <c r="A1497" t="s">
        <v>1200</v>
      </c>
      <c r="B1497" t="s">
        <v>1163</v>
      </c>
      <c r="C1497" s="7" t="s">
        <v>1212</v>
      </c>
      <c r="D1497" t="s">
        <v>144</v>
      </c>
      <c r="E1497" s="7" t="s">
        <v>1210</v>
      </c>
      <c r="F1497" t="s">
        <v>337</v>
      </c>
    </row>
    <row r="1498" spans="1:6">
      <c r="A1498" t="s">
        <v>1200</v>
      </c>
      <c r="B1498" t="s">
        <v>1163</v>
      </c>
      <c r="C1498" s="7" t="s">
        <v>1213</v>
      </c>
      <c r="D1498" t="s">
        <v>144</v>
      </c>
      <c r="E1498" s="7" t="s">
        <v>1210</v>
      </c>
      <c r="F1498" t="s">
        <v>337</v>
      </c>
    </row>
    <row r="1499" spans="1:6">
      <c r="A1499" t="s">
        <v>1200</v>
      </c>
      <c r="B1499" t="s">
        <v>1163</v>
      </c>
      <c r="C1499" s="7" t="s">
        <v>1214</v>
      </c>
      <c r="D1499" t="s">
        <v>144</v>
      </c>
      <c r="E1499" s="7" t="s">
        <v>1210</v>
      </c>
      <c r="F1499" t="s">
        <v>337</v>
      </c>
    </row>
    <row r="1500" spans="1:6">
      <c r="A1500" t="s">
        <v>1200</v>
      </c>
      <c r="B1500" t="s">
        <v>1163</v>
      </c>
      <c r="C1500" t="s">
        <v>1199</v>
      </c>
      <c r="D1500" t="s">
        <v>164</v>
      </c>
      <c r="E1500" t="s">
        <v>1202</v>
      </c>
      <c r="F1500" t="s">
        <v>337</v>
      </c>
    </row>
    <row r="1501" spans="1:6">
      <c r="A1501" t="s">
        <v>1200</v>
      </c>
      <c r="B1501" t="s">
        <v>1163</v>
      </c>
      <c r="C1501" t="s">
        <v>1185</v>
      </c>
      <c r="D1501" t="s">
        <v>164</v>
      </c>
      <c r="E1501" t="s">
        <v>1205</v>
      </c>
      <c r="F1501" t="s">
        <v>337</v>
      </c>
    </row>
    <row r="1502" spans="1:6">
      <c r="A1502" t="s">
        <v>1200</v>
      </c>
      <c r="B1502" t="s">
        <v>1163</v>
      </c>
      <c r="C1502" t="s">
        <v>980</v>
      </c>
      <c r="D1502" t="s">
        <v>164</v>
      </c>
      <c r="E1502" t="s">
        <v>1210</v>
      </c>
      <c r="F1502" t="s">
        <v>337</v>
      </c>
    </row>
    <row r="1503" spans="1:6">
      <c r="A1503" t="s">
        <v>1215</v>
      </c>
      <c r="B1503" t="s">
        <v>1163</v>
      </c>
      <c r="C1503" s="7" t="s">
        <v>1216</v>
      </c>
      <c r="D1503" t="s">
        <v>144</v>
      </c>
      <c r="E1503" s="7" t="s">
        <v>1217</v>
      </c>
      <c r="F1503" t="s">
        <v>337</v>
      </c>
    </row>
    <row r="1504" spans="1:6">
      <c r="A1504" t="s">
        <v>1215</v>
      </c>
      <c r="B1504" t="s">
        <v>1163</v>
      </c>
      <c r="C1504" s="7" t="s">
        <v>1035</v>
      </c>
      <c r="D1504" t="s">
        <v>144</v>
      </c>
      <c r="E1504" s="7" t="s">
        <v>1217</v>
      </c>
      <c r="F1504" t="s">
        <v>337</v>
      </c>
    </row>
    <row r="1505" spans="1:6">
      <c r="A1505" t="s">
        <v>1215</v>
      </c>
      <c r="B1505" t="s">
        <v>1163</v>
      </c>
      <c r="C1505" s="7" t="s">
        <v>1218</v>
      </c>
      <c r="D1505" t="s">
        <v>144</v>
      </c>
      <c r="E1505" s="7" t="s">
        <v>1217</v>
      </c>
      <c r="F1505" t="s">
        <v>337</v>
      </c>
    </row>
    <row r="1506" spans="1:6">
      <c r="A1506" t="s">
        <v>1215</v>
      </c>
      <c r="B1506" t="s">
        <v>1163</v>
      </c>
      <c r="C1506" s="7" t="s">
        <v>1219</v>
      </c>
      <c r="D1506" t="s">
        <v>144</v>
      </c>
      <c r="E1506" s="7" t="s">
        <v>1217</v>
      </c>
      <c r="F1506" t="s">
        <v>337</v>
      </c>
    </row>
    <row r="1507" spans="1:6">
      <c r="A1507" t="s">
        <v>1215</v>
      </c>
      <c r="B1507" t="s">
        <v>1163</v>
      </c>
      <c r="C1507" s="7" t="s">
        <v>1220</v>
      </c>
      <c r="D1507" t="s">
        <v>144</v>
      </c>
      <c r="E1507" s="7" t="s">
        <v>1221</v>
      </c>
      <c r="F1507" t="s">
        <v>337</v>
      </c>
    </row>
    <row r="1508" spans="1:6">
      <c r="A1508" t="s">
        <v>1215</v>
      </c>
      <c r="B1508" t="s">
        <v>1163</v>
      </c>
      <c r="C1508" s="7" t="s">
        <v>134</v>
      </c>
      <c r="D1508" t="s">
        <v>144</v>
      </c>
      <c r="E1508" s="7" t="s">
        <v>1221</v>
      </c>
      <c r="F1508" t="s">
        <v>337</v>
      </c>
    </row>
    <row r="1509" spans="1:6">
      <c r="A1509" t="s">
        <v>1215</v>
      </c>
      <c r="B1509" t="s">
        <v>1163</v>
      </c>
      <c r="C1509" s="7" t="s">
        <v>1222</v>
      </c>
      <c r="D1509" t="s">
        <v>144</v>
      </c>
      <c r="E1509" s="7" t="s">
        <v>1221</v>
      </c>
      <c r="F1509" t="s">
        <v>337</v>
      </c>
    </row>
    <row r="1510" spans="1:6">
      <c r="A1510" t="s">
        <v>1215</v>
      </c>
      <c r="B1510" t="s">
        <v>1163</v>
      </c>
      <c r="C1510" s="7" t="s">
        <v>1223</v>
      </c>
      <c r="D1510" t="s">
        <v>144</v>
      </c>
      <c r="E1510" s="7" t="s">
        <v>1221</v>
      </c>
      <c r="F1510" t="s">
        <v>337</v>
      </c>
    </row>
    <row r="1511" spans="1:6">
      <c r="A1511" t="s">
        <v>1215</v>
      </c>
      <c r="B1511" t="s">
        <v>1163</v>
      </c>
      <c r="C1511" s="7" t="s">
        <v>136</v>
      </c>
      <c r="D1511" t="s">
        <v>144</v>
      </c>
      <c r="E1511" s="7" t="s">
        <v>1224</v>
      </c>
      <c r="F1511" t="s">
        <v>337</v>
      </c>
    </row>
    <row r="1512" spans="1:6">
      <c r="A1512" t="s">
        <v>1215</v>
      </c>
      <c r="B1512" t="s">
        <v>1163</v>
      </c>
      <c r="C1512" s="7" t="s">
        <v>1225</v>
      </c>
      <c r="D1512" t="s">
        <v>144</v>
      </c>
      <c r="E1512" s="7" t="s">
        <v>1224</v>
      </c>
      <c r="F1512" t="s">
        <v>337</v>
      </c>
    </row>
    <row r="1513" spans="1:6">
      <c r="A1513" t="s">
        <v>1215</v>
      </c>
      <c r="B1513" t="s">
        <v>1163</v>
      </c>
      <c r="C1513" s="7" t="s">
        <v>1226</v>
      </c>
      <c r="D1513" t="s">
        <v>144</v>
      </c>
      <c r="E1513" s="7" t="s">
        <v>1224</v>
      </c>
      <c r="F1513" t="s">
        <v>337</v>
      </c>
    </row>
    <row r="1514" spans="1:6">
      <c r="A1514" t="s">
        <v>1215</v>
      </c>
      <c r="B1514" t="s">
        <v>1163</v>
      </c>
      <c r="C1514" t="s">
        <v>1207</v>
      </c>
      <c r="D1514" t="s">
        <v>164</v>
      </c>
      <c r="E1514" t="s">
        <v>1217</v>
      </c>
      <c r="F1514" t="s">
        <v>337</v>
      </c>
    </row>
    <row r="1515" spans="1:6">
      <c r="A1515" t="s">
        <v>1215</v>
      </c>
      <c r="B1515" t="s">
        <v>1163</v>
      </c>
      <c r="C1515" t="s">
        <v>1227</v>
      </c>
      <c r="D1515" t="s">
        <v>164</v>
      </c>
      <c r="E1515" t="s">
        <v>1221</v>
      </c>
      <c r="F1515" t="s">
        <v>337</v>
      </c>
    </row>
    <row r="1516" spans="1:6">
      <c r="A1516" t="s">
        <v>1215</v>
      </c>
      <c r="B1516" t="s">
        <v>1163</v>
      </c>
      <c r="C1516" t="s">
        <v>952</v>
      </c>
      <c r="D1516" t="s">
        <v>164</v>
      </c>
      <c r="E1516" t="s">
        <v>1224</v>
      </c>
      <c r="F1516" t="s">
        <v>337</v>
      </c>
    </row>
    <row r="1517" spans="1:6">
      <c r="A1517" t="s">
        <v>1228</v>
      </c>
      <c r="B1517" t="s">
        <v>1163</v>
      </c>
      <c r="C1517" s="7" t="s">
        <v>1229</v>
      </c>
      <c r="D1517" t="s">
        <v>144</v>
      </c>
      <c r="E1517" s="7" t="s">
        <v>1230</v>
      </c>
      <c r="F1517" t="s">
        <v>337</v>
      </c>
    </row>
    <row r="1518" spans="1:6">
      <c r="A1518" t="s">
        <v>1228</v>
      </c>
      <c r="B1518" t="s">
        <v>1163</v>
      </c>
      <c r="C1518" s="7" t="s">
        <v>1231</v>
      </c>
      <c r="D1518" t="s">
        <v>144</v>
      </c>
      <c r="E1518" s="7" t="s">
        <v>1230</v>
      </c>
      <c r="F1518" t="s">
        <v>337</v>
      </c>
    </row>
    <row r="1519" spans="1:6">
      <c r="A1519" t="s">
        <v>1228</v>
      </c>
      <c r="B1519" t="s">
        <v>1163</v>
      </c>
      <c r="C1519" s="7" t="s">
        <v>1232</v>
      </c>
      <c r="D1519" t="s">
        <v>144</v>
      </c>
      <c r="E1519" s="7" t="s">
        <v>1230</v>
      </c>
      <c r="F1519" t="s">
        <v>337</v>
      </c>
    </row>
    <row r="1520" spans="1:6">
      <c r="A1520" t="s">
        <v>1228</v>
      </c>
      <c r="B1520" t="s">
        <v>1163</v>
      </c>
      <c r="C1520" s="7" t="s">
        <v>1233</v>
      </c>
      <c r="D1520" t="s">
        <v>144</v>
      </c>
      <c r="E1520" s="7" t="s">
        <v>1234</v>
      </c>
      <c r="F1520" t="s">
        <v>337</v>
      </c>
    </row>
    <row r="1521" spans="1:6">
      <c r="A1521" t="s">
        <v>1228</v>
      </c>
      <c r="B1521" t="s">
        <v>1163</v>
      </c>
      <c r="C1521" s="7" t="s">
        <v>1235</v>
      </c>
      <c r="D1521" t="s">
        <v>144</v>
      </c>
      <c r="E1521" s="7" t="s">
        <v>1234</v>
      </c>
      <c r="F1521" t="s">
        <v>337</v>
      </c>
    </row>
    <row r="1522" spans="1:6">
      <c r="A1522" t="s">
        <v>1228</v>
      </c>
      <c r="B1522" t="s">
        <v>1163</v>
      </c>
      <c r="C1522" s="7" t="s">
        <v>1052</v>
      </c>
      <c r="D1522" t="s">
        <v>144</v>
      </c>
      <c r="E1522" s="7" t="s">
        <v>1234</v>
      </c>
      <c r="F1522" t="s">
        <v>337</v>
      </c>
    </row>
    <row r="1523" spans="1:6">
      <c r="A1523" t="s">
        <v>1228</v>
      </c>
      <c r="B1523" t="s">
        <v>1163</v>
      </c>
      <c r="C1523" s="7" t="s">
        <v>1236</v>
      </c>
      <c r="D1523" t="s">
        <v>144</v>
      </c>
      <c r="E1523" s="7" t="s">
        <v>1237</v>
      </c>
      <c r="F1523" t="s">
        <v>337</v>
      </c>
    </row>
    <row r="1524" spans="1:6">
      <c r="A1524" t="s">
        <v>1228</v>
      </c>
      <c r="B1524" t="s">
        <v>1163</v>
      </c>
      <c r="C1524" s="7" t="s">
        <v>1238</v>
      </c>
      <c r="D1524" t="s">
        <v>144</v>
      </c>
      <c r="E1524" s="7" t="s">
        <v>1237</v>
      </c>
      <c r="F1524" t="s">
        <v>337</v>
      </c>
    </row>
    <row r="1525" spans="1:6">
      <c r="A1525" t="s">
        <v>1228</v>
      </c>
      <c r="B1525" t="s">
        <v>1163</v>
      </c>
      <c r="C1525" s="7" t="s">
        <v>1239</v>
      </c>
      <c r="D1525" t="s">
        <v>144</v>
      </c>
      <c r="E1525" s="7" t="s">
        <v>1237</v>
      </c>
      <c r="F1525" t="s">
        <v>337</v>
      </c>
    </row>
    <row r="1526" spans="1:6">
      <c r="A1526" t="s">
        <v>1228</v>
      </c>
      <c r="B1526" t="s">
        <v>1163</v>
      </c>
      <c r="C1526" s="7" t="s">
        <v>1240</v>
      </c>
      <c r="D1526" t="s">
        <v>144</v>
      </c>
      <c r="E1526" s="7" t="s">
        <v>1237</v>
      </c>
      <c r="F1526" t="s">
        <v>337</v>
      </c>
    </row>
    <row r="1527" spans="1:6">
      <c r="A1527" t="s">
        <v>1228</v>
      </c>
      <c r="B1527" t="s">
        <v>1163</v>
      </c>
      <c r="C1527" t="s">
        <v>1207</v>
      </c>
      <c r="D1527" t="s">
        <v>164</v>
      </c>
      <c r="E1527" t="s">
        <v>1230</v>
      </c>
      <c r="F1527" t="s">
        <v>337</v>
      </c>
    </row>
    <row r="1528" spans="1:6">
      <c r="A1528" t="s">
        <v>1228</v>
      </c>
      <c r="B1528" t="s">
        <v>1163</v>
      </c>
      <c r="C1528" t="s">
        <v>1220</v>
      </c>
      <c r="D1528" t="s">
        <v>164</v>
      </c>
      <c r="E1528" t="s">
        <v>1234</v>
      </c>
      <c r="F1528" t="s">
        <v>337</v>
      </c>
    </row>
    <row r="1529" spans="1:6">
      <c r="A1529" t="s">
        <v>1228</v>
      </c>
      <c r="B1529" t="s">
        <v>1163</v>
      </c>
      <c r="C1529" t="s">
        <v>1225</v>
      </c>
      <c r="D1529" t="s">
        <v>164</v>
      </c>
      <c r="E1529" t="s">
        <v>1237</v>
      </c>
      <c r="F1529" t="s">
        <v>337</v>
      </c>
    </row>
    <row r="1530" spans="1:6">
      <c r="A1530" t="s">
        <v>1241</v>
      </c>
      <c r="B1530" t="s">
        <v>1163</v>
      </c>
      <c r="C1530" s="7" t="s">
        <v>1242</v>
      </c>
      <c r="D1530" t="s">
        <v>144</v>
      </c>
      <c r="E1530" s="7" t="s">
        <v>1243</v>
      </c>
      <c r="F1530" t="s">
        <v>337</v>
      </c>
    </row>
    <row r="1531" spans="1:6">
      <c r="A1531" t="s">
        <v>1241</v>
      </c>
      <c r="B1531" t="s">
        <v>1163</v>
      </c>
      <c r="C1531" s="7" t="s">
        <v>1244</v>
      </c>
      <c r="D1531" t="s">
        <v>144</v>
      </c>
      <c r="E1531" s="7" t="s">
        <v>1243</v>
      </c>
      <c r="F1531" t="s">
        <v>337</v>
      </c>
    </row>
    <row r="1532" spans="1:6">
      <c r="A1532" t="s">
        <v>1241</v>
      </c>
      <c r="B1532" t="s">
        <v>1163</v>
      </c>
      <c r="C1532" s="7" t="s">
        <v>1135</v>
      </c>
      <c r="D1532" t="s">
        <v>144</v>
      </c>
      <c r="E1532" s="7" t="s">
        <v>1243</v>
      </c>
      <c r="F1532" t="s">
        <v>337</v>
      </c>
    </row>
    <row r="1533" spans="1:6">
      <c r="A1533" t="s">
        <v>1241</v>
      </c>
      <c r="B1533" t="s">
        <v>1163</v>
      </c>
      <c r="C1533" s="7" t="s">
        <v>1245</v>
      </c>
      <c r="D1533" t="s">
        <v>144</v>
      </c>
      <c r="E1533" s="7" t="s">
        <v>1243</v>
      </c>
      <c r="F1533" t="s">
        <v>337</v>
      </c>
    </row>
    <row r="1534" spans="1:6">
      <c r="A1534" t="s">
        <v>1241</v>
      </c>
      <c r="B1534" t="s">
        <v>1163</v>
      </c>
      <c r="C1534" s="7" t="s">
        <v>1246</v>
      </c>
      <c r="D1534" t="s">
        <v>144</v>
      </c>
      <c r="E1534" s="7" t="s">
        <v>1247</v>
      </c>
      <c r="F1534" t="s">
        <v>337</v>
      </c>
    </row>
    <row r="1535" spans="1:6">
      <c r="A1535" t="s">
        <v>1241</v>
      </c>
      <c r="B1535" t="s">
        <v>1163</v>
      </c>
      <c r="C1535" s="7" t="s">
        <v>1248</v>
      </c>
      <c r="D1535" t="s">
        <v>144</v>
      </c>
      <c r="E1535" s="7" t="s">
        <v>1247</v>
      </c>
      <c r="F1535" t="s">
        <v>337</v>
      </c>
    </row>
    <row r="1536" spans="1:6">
      <c r="A1536" t="s">
        <v>1241</v>
      </c>
      <c r="B1536" t="s">
        <v>1163</v>
      </c>
      <c r="C1536" s="7" t="s">
        <v>1249</v>
      </c>
      <c r="D1536" t="s">
        <v>144</v>
      </c>
      <c r="E1536" s="7" t="s">
        <v>1247</v>
      </c>
      <c r="F1536" t="s">
        <v>337</v>
      </c>
    </row>
    <row r="1537" spans="1:6">
      <c r="A1537" t="s">
        <v>1241</v>
      </c>
      <c r="B1537" t="s">
        <v>1163</v>
      </c>
      <c r="C1537" s="7" t="s">
        <v>1250</v>
      </c>
      <c r="D1537" t="s">
        <v>144</v>
      </c>
      <c r="E1537" s="7" t="s">
        <v>1247</v>
      </c>
      <c r="F1537" t="s">
        <v>337</v>
      </c>
    </row>
    <row r="1538" spans="1:6">
      <c r="A1538" t="s">
        <v>1241</v>
      </c>
      <c r="B1538" t="s">
        <v>1163</v>
      </c>
      <c r="C1538" s="7" t="s">
        <v>1251</v>
      </c>
      <c r="D1538" t="s">
        <v>144</v>
      </c>
      <c r="E1538" s="7" t="s">
        <v>1252</v>
      </c>
      <c r="F1538" t="s">
        <v>337</v>
      </c>
    </row>
    <row r="1539" spans="1:6">
      <c r="A1539" t="s">
        <v>1241</v>
      </c>
      <c r="B1539" t="s">
        <v>1163</v>
      </c>
      <c r="C1539" s="7" t="s">
        <v>1253</v>
      </c>
      <c r="D1539" t="s">
        <v>144</v>
      </c>
      <c r="E1539" s="7" t="s">
        <v>1252</v>
      </c>
      <c r="F1539" t="s">
        <v>337</v>
      </c>
    </row>
    <row r="1540" spans="1:6">
      <c r="A1540" t="s">
        <v>1241</v>
      </c>
      <c r="B1540" t="s">
        <v>1163</v>
      </c>
      <c r="C1540" s="7" t="s">
        <v>1254</v>
      </c>
      <c r="D1540" t="s">
        <v>144</v>
      </c>
      <c r="E1540" s="7" t="s">
        <v>1252</v>
      </c>
      <c r="F1540" t="s">
        <v>337</v>
      </c>
    </row>
    <row r="1541" spans="1:6">
      <c r="A1541" t="s">
        <v>1241</v>
      </c>
      <c r="B1541" t="s">
        <v>1163</v>
      </c>
      <c r="C1541" t="s">
        <v>1235</v>
      </c>
      <c r="D1541" t="s">
        <v>164</v>
      </c>
      <c r="E1541" t="s">
        <v>1243</v>
      </c>
      <c r="F1541" t="s">
        <v>337</v>
      </c>
    </row>
    <row r="1542" spans="1:6">
      <c r="A1542" t="s">
        <v>1241</v>
      </c>
      <c r="B1542" t="s">
        <v>1163</v>
      </c>
      <c r="C1542" t="s">
        <v>1225</v>
      </c>
      <c r="D1542" t="s">
        <v>164</v>
      </c>
      <c r="E1542" t="s">
        <v>1247</v>
      </c>
      <c r="F1542" t="s">
        <v>337</v>
      </c>
    </row>
    <row r="1543" spans="1:6">
      <c r="A1543" t="s">
        <v>1241</v>
      </c>
      <c r="B1543" t="s">
        <v>1163</v>
      </c>
      <c r="C1543" t="s">
        <v>1059</v>
      </c>
      <c r="D1543" t="s">
        <v>164</v>
      </c>
      <c r="E1543" t="s">
        <v>1252</v>
      </c>
      <c r="F1543" t="s">
        <v>337</v>
      </c>
    </row>
    <row r="1544" spans="1:6">
      <c r="A1544" t="s">
        <v>1255</v>
      </c>
      <c r="B1544" t="s">
        <v>1256</v>
      </c>
      <c r="C1544" t="s">
        <v>127</v>
      </c>
      <c r="D1544" t="s">
        <v>164</v>
      </c>
      <c r="E1544" t="s">
        <v>1257</v>
      </c>
      <c r="F1544" t="s">
        <v>145</v>
      </c>
    </row>
    <row r="1545" spans="1:6">
      <c r="A1545" t="s">
        <v>1255</v>
      </c>
      <c r="B1545" t="s">
        <v>1256</v>
      </c>
      <c r="C1545" t="s">
        <v>1128</v>
      </c>
      <c r="D1545" t="s">
        <v>144</v>
      </c>
      <c r="E1545" t="s">
        <v>1257</v>
      </c>
      <c r="F1545" t="s">
        <v>145</v>
      </c>
    </row>
    <row r="1546" spans="1:6">
      <c r="A1546" t="s">
        <v>1255</v>
      </c>
      <c r="B1546" t="s">
        <v>1256</v>
      </c>
      <c r="C1546" t="s">
        <v>1113</v>
      </c>
      <c r="D1546" t="s">
        <v>144</v>
      </c>
      <c r="E1546" t="s">
        <v>1257</v>
      </c>
      <c r="F1546" t="s">
        <v>145</v>
      </c>
    </row>
    <row r="1547" spans="1:6">
      <c r="A1547" t="s">
        <v>1255</v>
      </c>
      <c r="B1547" t="s">
        <v>1256</v>
      </c>
      <c r="C1547" t="s">
        <v>1122</v>
      </c>
      <c r="D1547" t="s">
        <v>144</v>
      </c>
      <c r="E1547" t="s">
        <v>1257</v>
      </c>
      <c r="F1547" t="s">
        <v>145</v>
      </c>
    </row>
    <row r="1548" spans="1:6">
      <c r="A1548" t="s">
        <v>1255</v>
      </c>
      <c r="B1548" t="s">
        <v>1256</v>
      </c>
      <c r="C1548" t="s">
        <v>1110</v>
      </c>
      <c r="D1548" t="s">
        <v>144</v>
      </c>
      <c r="E1548" t="s">
        <v>1257</v>
      </c>
      <c r="F1548" t="s">
        <v>145</v>
      </c>
    </row>
    <row r="1549" spans="1:6">
      <c r="A1549" t="s">
        <v>1255</v>
      </c>
      <c r="B1549" t="s">
        <v>1256</v>
      </c>
      <c r="C1549" t="s">
        <v>1016</v>
      </c>
      <c r="D1549" t="s">
        <v>164</v>
      </c>
      <c r="E1549" t="s">
        <v>1258</v>
      </c>
      <c r="F1549" t="s">
        <v>145</v>
      </c>
    </row>
    <row r="1550" spans="1:6">
      <c r="A1550" t="s">
        <v>1255</v>
      </c>
      <c r="B1550" t="s">
        <v>1256</v>
      </c>
      <c r="C1550" t="s">
        <v>1121</v>
      </c>
      <c r="D1550" t="s">
        <v>144</v>
      </c>
      <c r="E1550" t="s">
        <v>1258</v>
      </c>
      <c r="F1550" t="s">
        <v>145</v>
      </c>
    </row>
    <row r="1551" spans="1:6">
      <c r="A1551" t="s">
        <v>1255</v>
      </c>
      <c r="B1551" t="s">
        <v>1256</v>
      </c>
      <c r="C1551" t="s">
        <v>1104</v>
      </c>
      <c r="D1551" t="s">
        <v>144</v>
      </c>
      <c r="E1551" t="s">
        <v>1258</v>
      </c>
      <c r="F1551" t="s">
        <v>145</v>
      </c>
    </row>
    <row r="1552" spans="1:6">
      <c r="A1552" t="s">
        <v>1255</v>
      </c>
      <c r="B1552" t="s">
        <v>1256</v>
      </c>
      <c r="C1552" t="s">
        <v>1120</v>
      </c>
      <c r="D1552" t="s">
        <v>144</v>
      </c>
      <c r="E1552" t="s">
        <v>1258</v>
      </c>
      <c r="F1552" t="s">
        <v>145</v>
      </c>
    </row>
    <row r="1553" spans="1:6">
      <c r="A1553" t="s">
        <v>1255</v>
      </c>
      <c r="B1553" t="s">
        <v>158</v>
      </c>
      <c r="C1553" t="s">
        <v>1161</v>
      </c>
      <c r="D1553" t="s">
        <v>160</v>
      </c>
      <c r="F1553" t="s">
        <v>145</v>
      </c>
    </row>
    <row r="1554" spans="1:6">
      <c r="A1554" t="s">
        <v>1255</v>
      </c>
      <c r="B1554" t="s">
        <v>158</v>
      </c>
      <c r="C1554" t="s">
        <v>69</v>
      </c>
      <c r="D1554" t="s">
        <v>1098</v>
      </c>
      <c r="F1554" t="s">
        <v>145</v>
      </c>
    </row>
    <row r="1555" spans="1:6">
      <c r="A1555" t="s">
        <v>1255</v>
      </c>
      <c r="B1555" t="s">
        <v>158</v>
      </c>
      <c r="C1555" t="s">
        <v>1014</v>
      </c>
      <c r="D1555" t="s">
        <v>162</v>
      </c>
      <c r="F1555" t="s">
        <v>145</v>
      </c>
    </row>
    <row r="1556" spans="1:6">
      <c r="A1556" t="s">
        <v>1255</v>
      </c>
      <c r="B1556" t="s">
        <v>158</v>
      </c>
      <c r="C1556" t="s">
        <v>1073</v>
      </c>
      <c r="D1556" t="s">
        <v>217</v>
      </c>
      <c r="F1556" t="s">
        <v>145</v>
      </c>
    </row>
    <row r="1557" spans="1:6">
      <c r="A1557" t="s">
        <v>1255</v>
      </c>
      <c r="B1557" t="s">
        <v>158</v>
      </c>
      <c r="C1557" t="s">
        <v>112</v>
      </c>
      <c r="D1557" t="s">
        <v>217</v>
      </c>
      <c r="F1557" t="s">
        <v>145</v>
      </c>
    </row>
    <row r="1558" spans="1:6">
      <c r="A1558" t="s">
        <v>1259</v>
      </c>
      <c r="B1558" t="s">
        <v>1260</v>
      </c>
      <c r="C1558" t="s">
        <v>237</v>
      </c>
      <c r="D1558" t="s">
        <v>1261</v>
      </c>
      <c r="E1558" t="s">
        <v>1262</v>
      </c>
      <c r="F1558" t="s">
        <v>337</v>
      </c>
    </row>
    <row r="1559" spans="1:6">
      <c r="A1559" t="s">
        <v>1259</v>
      </c>
      <c r="B1559" t="s">
        <v>1260</v>
      </c>
      <c r="C1559" s="7" t="s">
        <v>1263</v>
      </c>
      <c r="D1559" t="s">
        <v>1264</v>
      </c>
      <c r="E1559" s="7" t="s">
        <v>1262</v>
      </c>
      <c r="F1559" t="s">
        <v>337</v>
      </c>
    </row>
    <row r="1560" spans="1:6">
      <c r="A1560" t="s">
        <v>1259</v>
      </c>
      <c r="B1560" t="s">
        <v>1260</v>
      </c>
      <c r="C1560" s="7" t="s">
        <v>559</v>
      </c>
      <c r="D1560" t="s">
        <v>1264</v>
      </c>
      <c r="E1560" s="7" t="s">
        <v>1262</v>
      </c>
      <c r="F1560" t="s">
        <v>337</v>
      </c>
    </row>
    <row r="1561" spans="1:6">
      <c r="A1561" t="s">
        <v>1259</v>
      </c>
      <c r="B1561" t="s">
        <v>1260</v>
      </c>
      <c r="C1561" s="7" t="s">
        <v>1265</v>
      </c>
      <c r="D1561" t="s">
        <v>1264</v>
      </c>
      <c r="E1561" s="7" t="s">
        <v>1262</v>
      </c>
      <c r="F1561" t="s">
        <v>337</v>
      </c>
    </row>
    <row r="1562" spans="1:6">
      <c r="A1562" t="s">
        <v>1259</v>
      </c>
      <c r="B1562" t="s">
        <v>1260</v>
      </c>
      <c r="C1562" s="7" t="s">
        <v>1266</v>
      </c>
      <c r="D1562" t="s">
        <v>1264</v>
      </c>
      <c r="E1562" s="7" t="s">
        <v>1262</v>
      </c>
      <c r="F1562" t="s">
        <v>337</v>
      </c>
    </row>
    <row r="1563" spans="1:6">
      <c r="A1563" t="s">
        <v>1259</v>
      </c>
      <c r="B1563" t="s">
        <v>1260</v>
      </c>
      <c r="C1563" s="7" t="s">
        <v>1267</v>
      </c>
      <c r="D1563" t="s">
        <v>1264</v>
      </c>
      <c r="E1563" s="7" t="s">
        <v>1262</v>
      </c>
      <c r="F1563" t="s">
        <v>337</v>
      </c>
    </row>
    <row r="1564" spans="1:6">
      <c r="A1564" t="s">
        <v>1259</v>
      </c>
      <c r="B1564" t="s">
        <v>1260</v>
      </c>
      <c r="C1564" t="s">
        <v>1268</v>
      </c>
      <c r="D1564" t="s">
        <v>1261</v>
      </c>
      <c r="E1564" t="s">
        <v>1269</v>
      </c>
      <c r="F1564" t="s">
        <v>337</v>
      </c>
    </row>
    <row r="1565" spans="1:6">
      <c r="A1565" t="s">
        <v>1259</v>
      </c>
      <c r="B1565" t="s">
        <v>1260</v>
      </c>
      <c r="C1565" s="7" t="s">
        <v>1270</v>
      </c>
      <c r="D1565" t="s">
        <v>1264</v>
      </c>
      <c r="E1565" s="7" t="s">
        <v>1269</v>
      </c>
      <c r="F1565" t="s">
        <v>337</v>
      </c>
    </row>
    <row r="1566" spans="1:6">
      <c r="A1566" t="s">
        <v>1259</v>
      </c>
      <c r="B1566" t="s">
        <v>1260</v>
      </c>
      <c r="C1566" s="7" t="s">
        <v>1271</v>
      </c>
      <c r="D1566" t="s">
        <v>1264</v>
      </c>
      <c r="E1566" s="7" t="s">
        <v>1272</v>
      </c>
      <c r="F1566" t="s">
        <v>337</v>
      </c>
    </row>
    <row r="1567" spans="1:6">
      <c r="A1567" t="s">
        <v>1259</v>
      </c>
      <c r="B1567" t="s">
        <v>1260</v>
      </c>
      <c r="C1567" s="7" t="s">
        <v>1273</v>
      </c>
      <c r="D1567" t="s">
        <v>1264</v>
      </c>
      <c r="E1567" s="7" t="s">
        <v>1272</v>
      </c>
      <c r="F1567" t="s">
        <v>337</v>
      </c>
    </row>
    <row r="1568" spans="1:6">
      <c r="A1568" t="s">
        <v>1259</v>
      </c>
      <c r="B1568" t="s">
        <v>1260</v>
      </c>
      <c r="C1568" s="7" t="s">
        <v>1274</v>
      </c>
      <c r="D1568" t="s">
        <v>1264</v>
      </c>
      <c r="E1568" s="7" t="s">
        <v>1272</v>
      </c>
      <c r="F1568" t="s">
        <v>337</v>
      </c>
    </row>
    <row r="1569" spans="1:6">
      <c r="A1569" t="s">
        <v>1259</v>
      </c>
      <c r="B1569" t="s">
        <v>1260</v>
      </c>
      <c r="C1569" s="7" t="s">
        <v>1275</v>
      </c>
      <c r="D1569" t="s">
        <v>1264</v>
      </c>
      <c r="E1569" s="7" t="s">
        <v>1272</v>
      </c>
      <c r="F1569" t="s">
        <v>337</v>
      </c>
    </row>
    <row r="1570" spans="1:6">
      <c r="A1570" t="s">
        <v>1276</v>
      </c>
      <c r="B1570" t="s">
        <v>1260</v>
      </c>
      <c r="C1570" t="s">
        <v>1263</v>
      </c>
      <c r="D1570" t="s">
        <v>164</v>
      </c>
      <c r="E1570" t="s">
        <v>1277</v>
      </c>
      <c r="F1570" t="s">
        <v>337</v>
      </c>
    </row>
    <row r="1571" spans="1:6">
      <c r="A1571" t="s">
        <v>1276</v>
      </c>
      <c r="B1571" t="s">
        <v>1260</v>
      </c>
      <c r="C1571" s="7" t="s">
        <v>1278</v>
      </c>
      <c r="D1571" t="s">
        <v>1264</v>
      </c>
      <c r="E1571" s="7" t="s">
        <v>1277</v>
      </c>
      <c r="F1571" t="s">
        <v>337</v>
      </c>
    </row>
    <row r="1572" spans="1:6">
      <c r="A1572" t="s">
        <v>1276</v>
      </c>
      <c r="B1572" t="s">
        <v>1260</v>
      </c>
      <c r="C1572" s="7" t="s">
        <v>1279</v>
      </c>
      <c r="D1572" t="s">
        <v>1264</v>
      </c>
      <c r="E1572" s="7" t="s">
        <v>1277</v>
      </c>
      <c r="F1572" t="s">
        <v>337</v>
      </c>
    </row>
    <row r="1573" spans="1:6">
      <c r="A1573" t="s">
        <v>1276</v>
      </c>
      <c r="B1573" t="s">
        <v>1260</v>
      </c>
      <c r="C1573" s="7" t="s">
        <v>1280</v>
      </c>
      <c r="D1573" t="s">
        <v>1264</v>
      </c>
      <c r="E1573" s="7" t="s">
        <v>1277</v>
      </c>
      <c r="F1573" t="s">
        <v>337</v>
      </c>
    </row>
    <row r="1574" spans="1:6">
      <c r="A1574" t="s">
        <v>1276</v>
      </c>
      <c r="B1574" t="s">
        <v>1260</v>
      </c>
      <c r="C1574" s="7" t="s">
        <v>1281</v>
      </c>
      <c r="D1574" t="s">
        <v>1264</v>
      </c>
      <c r="E1574" s="7" t="s">
        <v>1277</v>
      </c>
      <c r="F1574" t="s">
        <v>337</v>
      </c>
    </row>
    <row r="1575" spans="1:6">
      <c r="A1575" t="s">
        <v>1276</v>
      </c>
      <c r="B1575" t="s">
        <v>1260</v>
      </c>
      <c r="C1575" t="s">
        <v>1282</v>
      </c>
      <c r="D1575" t="s">
        <v>1261</v>
      </c>
      <c r="E1575" t="s">
        <v>1283</v>
      </c>
      <c r="F1575" t="s">
        <v>337</v>
      </c>
    </row>
    <row r="1576" spans="1:6">
      <c r="A1576" t="s">
        <v>1276</v>
      </c>
      <c r="B1576" t="s">
        <v>1260</v>
      </c>
      <c r="C1576" s="7" t="s">
        <v>1284</v>
      </c>
      <c r="D1576" t="s">
        <v>1264</v>
      </c>
      <c r="E1576" s="7" t="s">
        <v>1283</v>
      </c>
      <c r="F1576" t="s">
        <v>337</v>
      </c>
    </row>
    <row r="1577" spans="1:6">
      <c r="A1577" t="s">
        <v>1276</v>
      </c>
      <c r="B1577" t="s">
        <v>1260</v>
      </c>
      <c r="C1577" s="7" t="s">
        <v>1285</v>
      </c>
      <c r="D1577" t="s">
        <v>1264</v>
      </c>
      <c r="E1577" s="7" t="s">
        <v>1283</v>
      </c>
      <c r="F1577" t="s">
        <v>337</v>
      </c>
    </row>
    <row r="1578" spans="1:6">
      <c r="A1578" t="s">
        <v>1276</v>
      </c>
      <c r="B1578" t="s">
        <v>1260</v>
      </c>
      <c r="C1578" s="7" t="s">
        <v>1286</v>
      </c>
      <c r="D1578" t="s">
        <v>1264</v>
      </c>
      <c r="E1578" s="7" t="s">
        <v>1283</v>
      </c>
      <c r="F1578" t="s">
        <v>337</v>
      </c>
    </row>
    <row r="1579" spans="1:6">
      <c r="A1579" t="s">
        <v>1276</v>
      </c>
      <c r="B1579" t="s">
        <v>1260</v>
      </c>
      <c r="C1579" s="7" t="s">
        <v>1287</v>
      </c>
      <c r="D1579" t="s">
        <v>1264</v>
      </c>
      <c r="E1579" s="7" t="s">
        <v>1283</v>
      </c>
      <c r="F1579" t="s">
        <v>337</v>
      </c>
    </row>
    <row r="1580" spans="1:6">
      <c r="A1580" t="s">
        <v>1276</v>
      </c>
      <c r="B1580" t="s">
        <v>1260</v>
      </c>
      <c r="C1580" s="7" t="s">
        <v>1288</v>
      </c>
      <c r="D1580" t="s">
        <v>1264</v>
      </c>
      <c r="E1580" s="7" t="s">
        <v>1283</v>
      </c>
      <c r="F1580" t="s">
        <v>337</v>
      </c>
    </row>
    <row r="1581" spans="1:6">
      <c r="A1581" t="s">
        <v>1289</v>
      </c>
      <c r="B1581" t="s">
        <v>1260</v>
      </c>
      <c r="C1581" t="s">
        <v>1281</v>
      </c>
      <c r="D1581" t="s">
        <v>164</v>
      </c>
      <c r="E1581" t="s">
        <v>1290</v>
      </c>
      <c r="F1581" t="s">
        <v>337</v>
      </c>
    </row>
    <row r="1582" spans="1:6">
      <c r="A1582" t="s">
        <v>1289</v>
      </c>
      <c r="B1582" t="s">
        <v>1260</v>
      </c>
      <c r="C1582" s="7" t="s">
        <v>1291</v>
      </c>
      <c r="D1582" t="s">
        <v>1264</v>
      </c>
      <c r="E1582" s="7" t="s">
        <v>1290</v>
      </c>
      <c r="F1582" t="s">
        <v>337</v>
      </c>
    </row>
    <row r="1583" spans="1:6">
      <c r="A1583" t="s">
        <v>1289</v>
      </c>
      <c r="B1583" t="s">
        <v>1260</v>
      </c>
      <c r="C1583" s="7" t="s">
        <v>1292</v>
      </c>
      <c r="D1583" t="s">
        <v>1264</v>
      </c>
      <c r="E1583" s="7" t="s">
        <v>1290</v>
      </c>
      <c r="F1583" t="s">
        <v>337</v>
      </c>
    </row>
    <row r="1584" spans="1:6">
      <c r="A1584" t="s">
        <v>1289</v>
      </c>
      <c r="B1584" t="s">
        <v>1260</v>
      </c>
      <c r="C1584" s="7" t="s">
        <v>1293</v>
      </c>
      <c r="D1584" t="s">
        <v>1264</v>
      </c>
      <c r="E1584" s="7" t="s">
        <v>1290</v>
      </c>
      <c r="F1584" t="s">
        <v>337</v>
      </c>
    </row>
    <row r="1585" spans="1:6">
      <c r="A1585" t="s">
        <v>1289</v>
      </c>
      <c r="B1585" t="s">
        <v>1260</v>
      </c>
      <c r="C1585" s="7" t="s">
        <v>1294</v>
      </c>
      <c r="D1585" t="s">
        <v>1264</v>
      </c>
      <c r="E1585" s="7" t="s">
        <v>1290</v>
      </c>
      <c r="F1585" t="s">
        <v>337</v>
      </c>
    </row>
    <row r="1586" spans="1:6">
      <c r="A1586" t="s">
        <v>1289</v>
      </c>
      <c r="B1586" t="s">
        <v>1260</v>
      </c>
      <c r="C1586" s="7" t="s">
        <v>1295</v>
      </c>
      <c r="D1586" t="s">
        <v>1264</v>
      </c>
      <c r="E1586" s="7" t="s">
        <v>1290</v>
      </c>
      <c r="F1586" t="s">
        <v>337</v>
      </c>
    </row>
    <row r="1587" spans="1:6">
      <c r="A1587" t="s">
        <v>1289</v>
      </c>
      <c r="B1587" t="s">
        <v>1260</v>
      </c>
      <c r="C1587" s="7" t="s">
        <v>1296</v>
      </c>
      <c r="D1587" t="s">
        <v>1264</v>
      </c>
      <c r="E1587" s="7" t="s">
        <v>1290</v>
      </c>
      <c r="F1587" t="s">
        <v>337</v>
      </c>
    </row>
    <row r="1588" spans="1:6">
      <c r="A1588" t="s">
        <v>1289</v>
      </c>
      <c r="B1588" t="s">
        <v>1260</v>
      </c>
      <c r="C1588" t="s">
        <v>1278</v>
      </c>
      <c r="D1588" t="s">
        <v>164</v>
      </c>
      <c r="E1588" t="s">
        <v>1297</v>
      </c>
      <c r="F1588" t="s">
        <v>337</v>
      </c>
    </row>
    <row r="1589" spans="1:6">
      <c r="A1589" t="s">
        <v>1289</v>
      </c>
      <c r="B1589" t="s">
        <v>1260</v>
      </c>
      <c r="C1589" s="7" t="s">
        <v>1298</v>
      </c>
      <c r="D1589" t="s">
        <v>1264</v>
      </c>
      <c r="E1589" s="7" t="s">
        <v>1297</v>
      </c>
      <c r="F1589" t="s">
        <v>337</v>
      </c>
    </row>
    <row r="1590" spans="1:6">
      <c r="A1590" t="s">
        <v>1289</v>
      </c>
      <c r="B1590" t="s">
        <v>1260</v>
      </c>
      <c r="C1590" s="7" t="s">
        <v>1299</v>
      </c>
      <c r="D1590" t="s">
        <v>1264</v>
      </c>
      <c r="E1590" s="7" t="s">
        <v>1297</v>
      </c>
      <c r="F1590" t="s">
        <v>337</v>
      </c>
    </row>
    <row r="1591" spans="1:6">
      <c r="A1591" t="s">
        <v>1289</v>
      </c>
      <c r="B1591" t="s">
        <v>1260</v>
      </c>
      <c r="C1591" s="7" t="s">
        <v>589</v>
      </c>
      <c r="D1591" t="s">
        <v>1264</v>
      </c>
      <c r="E1591" s="7" t="s">
        <v>1297</v>
      </c>
      <c r="F1591" t="s">
        <v>337</v>
      </c>
    </row>
    <row r="1592" spans="1:6">
      <c r="A1592" t="s">
        <v>1289</v>
      </c>
      <c r="B1592" t="s">
        <v>1260</v>
      </c>
      <c r="C1592" s="7" t="s">
        <v>1300</v>
      </c>
      <c r="D1592" t="s">
        <v>1264</v>
      </c>
      <c r="E1592" s="7" t="s">
        <v>1297</v>
      </c>
      <c r="F1592" t="s">
        <v>337</v>
      </c>
    </row>
    <row r="1593" spans="1:6">
      <c r="A1593" t="s">
        <v>1289</v>
      </c>
      <c r="B1593" t="s">
        <v>1260</v>
      </c>
      <c r="C1593" s="7" t="s">
        <v>1301</v>
      </c>
      <c r="D1593" t="s">
        <v>1264</v>
      </c>
      <c r="E1593" s="7" t="s">
        <v>1297</v>
      </c>
      <c r="F1593" t="s">
        <v>337</v>
      </c>
    </row>
    <row r="1594" spans="1:6">
      <c r="A1594" t="s">
        <v>1302</v>
      </c>
      <c r="B1594" t="s">
        <v>1260</v>
      </c>
      <c r="C1594" t="s">
        <v>1284</v>
      </c>
      <c r="D1594" t="s">
        <v>164</v>
      </c>
      <c r="E1594" t="s">
        <v>1303</v>
      </c>
      <c r="F1594" t="s">
        <v>337</v>
      </c>
    </row>
    <row r="1595" spans="1:6">
      <c r="A1595" t="s">
        <v>1302</v>
      </c>
      <c r="B1595" t="s">
        <v>1260</v>
      </c>
      <c r="C1595" s="7" t="s">
        <v>1304</v>
      </c>
      <c r="D1595" t="s">
        <v>1264</v>
      </c>
      <c r="E1595" s="7" t="s">
        <v>1303</v>
      </c>
      <c r="F1595" t="s">
        <v>337</v>
      </c>
    </row>
    <row r="1596" spans="1:6">
      <c r="A1596" t="s">
        <v>1302</v>
      </c>
      <c r="B1596" t="s">
        <v>1260</v>
      </c>
      <c r="C1596" s="7" t="s">
        <v>1305</v>
      </c>
      <c r="D1596" t="s">
        <v>1264</v>
      </c>
      <c r="E1596" s="7" t="s">
        <v>1303</v>
      </c>
      <c r="F1596" t="s">
        <v>337</v>
      </c>
    </row>
    <row r="1597" spans="1:6">
      <c r="A1597" t="s">
        <v>1302</v>
      </c>
      <c r="B1597" t="s">
        <v>1260</v>
      </c>
      <c r="C1597" s="7" t="s">
        <v>1306</v>
      </c>
      <c r="D1597" t="s">
        <v>1264</v>
      </c>
      <c r="E1597" s="7" t="s">
        <v>1303</v>
      </c>
      <c r="F1597" t="s">
        <v>337</v>
      </c>
    </row>
    <row r="1598" spans="1:6">
      <c r="A1598" t="s">
        <v>1302</v>
      </c>
      <c r="B1598" t="s">
        <v>1260</v>
      </c>
      <c r="C1598" s="7" t="s">
        <v>1307</v>
      </c>
      <c r="D1598" t="s">
        <v>1264</v>
      </c>
      <c r="E1598" s="7" t="s">
        <v>1303</v>
      </c>
      <c r="F1598" t="s">
        <v>337</v>
      </c>
    </row>
    <row r="1599" spans="1:6">
      <c r="A1599" t="s">
        <v>1302</v>
      </c>
      <c r="B1599" t="s">
        <v>1260</v>
      </c>
      <c r="C1599" s="7" t="s">
        <v>1308</v>
      </c>
      <c r="D1599" t="s">
        <v>1264</v>
      </c>
      <c r="E1599" s="7" t="s">
        <v>1303</v>
      </c>
      <c r="F1599" t="s">
        <v>337</v>
      </c>
    </row>
    <row r="1600" spans="1:6">
      <c r="A1600" t="s">
        <v>1302</v>
      </c>
      <c r="B1600" t="s">
        <v>1260</v>
      </c>
      <c r="C1600" t="s">
        <v>1300</v>
      </c>
      <c r="D1600" t="s">
        <v>164</v>
      </c>
      <c r="E1600" t="s">
        <v>1309</v>
      </c>
      <c r="F1600" t="s">
        <v>337</v>
      </c>
    </row>
    <row r="1601" spans="1:6">
      <c r="A1601" t="s">
        <v>1302</v>
      </c>
      <c r="B1601" t="s">
        <v>1260</v>
      </c>
      <c r="C1601" s="7" t="s">
        <v>1310</v>
      </c>
      <c r="D1601" t="s">
        <v>1264</v>
      </c>
      <c r="E1601" s="7" t="s">
        <v>1309</v>
      </c>
      <c r="F1601" t="s">
        <v>337</v>
      </c>
    </row>
    <row r="1602" spans="1:6">
      <c r="A1602" t="s">
        <v>1302</v>
      </c>
      <c r="B1602" t="s">
        <v>1260</v>
      </c>
      <c r="C1602" s="7" t="s">
        <v>1311</v>
      </c>
      <c r="D1602" t="s">
        <v>1264</v>
      </c>
      <c r="E1602" s="7" t="s">
        <v>1309</v>
      </c>
      <c r="F1602" t="s">
        <v>337</v>
      </c>
    </row>
    <row r="1603" spans="1:6">
      <c r="A1603" t="s">
        <v>1302</v>
      </c>
      <c r="B1603" t="s">
        <v>1260</v>
      </c>
      <c r="C1603" s="7" t="s">
        <v>1312</v>
      </c>
      <c r="D1603" t="s">
        <v>1264</v>
      </c>
      <c r="E1603" s="7" t="s">
        <v>1309</v>
      </c>
      <c r="F1603" t="s">
        <v>337</v>
      </c>
    </row>
    <row r="1604" spans="1:6">
      <c r="A1604" t="s">
        <v>1302</v>
      </c>
      <c r="B1604" t="s">
        <v>1260</v>
      </c>
      <c r="C1604" s="7" t="s">
        <v>1313</v>
      </c>
      <c r="D1604" t="s">
        <v>1264</v>
      </c>
      <c r="E1604" s="7" t="s">
        <v>1309</v>
      </c>
      <c r="F1604" t="s">
        <v>337</v>
      </c>
    </row>
    <row r="1605" spans="1:6">
      <c r="A1605" t="s">
        <v>1314</v>
      </c>
      <c r="B1605" t="s">
        <v>1260</v>
      </c>
      <c r="C1605" t="s">
        <v>1308</v>
      </c>
      <c r="D1605" t="s">
        <v>164</v>
      </c>
      <c r="E1605" t="s">
        <v>1315</v>
      </c>
      <c r="F1605" t="s">
        <v>337</v>
      </c>
    </row>
    <row r="1606" spans="1:6">
      <c r="A1606" t="s">
        <v>1314</v>
      </c>
      <c r="B1606" t="s">
        <v>1260</v>
      </c>
      <c r="C1606" s="7" t="s">
        <v>1316</v>
      </c>
      <c r="D1606" t="s">
        <v>1264</v>
      </c>
      <c r="E1606" s="7" t="s">
        <v>1315</v>
      </c>
      <c r="F1606" t="s">
        <v>337</v>
      </c>
    </row>
    <row r="1607" spans="1:6">
      <c r="A1607" t="s">
        <v>1314</v>
      </c>
      <c r="B1607" t="s">
        <v>1260</v>
      </c>
      <c r="C1607" s="7" t="s">
        <v>1317</v>
      </c>
      <c r="D1607" t="s">
        <v>1264</v>
      </c>
      <c r="E1607" s="7" t="s">
        <v>1315</v>
      </c>
      <c r="F1607" t="s">
        <v>337</v>
      </c>
    </row>
    <row r="1608" spans="1:6">
      <c r="A1608" t="s">
        <v>1314</v>
      </c>
      <c r="B1608" t="s">
        <v>1260</v>
      </c>
      <c r="C1608" s="7" t="s">
        <v>1318</v>
      </c>
      <c r="D1608" t="s">
        <v>1264</v>
      </c>
      <c r="E1608" s="7" t="s">
        <v>1315</v>
      </c>
      <c r="F1608" t="s">
        <v>337</v>
      </c>
    </row>
    <row r="1609" spans="1:6">
      <c r="A1609" t="s">
        <v>1314</v>
      </c>
      <c r="B1609" t="s">
        <v>1260</v>
      </c>
      <c r="C1609" s="7" t="s">
        <v>1319</v>
      </c>
      <c r="D1609" t="s">
        <v>1264</v>
      </c>
      <c r="E1609" s="7" t="s">
        <v>1315</v>
      </c>
      <c r="F1609" t="s">
        <v>337</v>
      </c>
    </row>
    <row r="1610" spans="1:6">
      <c r="A1610" t="s">
        <v>1314</v>
      </c>
      <c r="B1610" t="s">
        <v>1260</v>
      </c>
      <c r="C1610" s="7" t="s">
        <v>1320</v>
      </c>
      <c r="D1610" t="s">
        <v>1264</v>
      </c>
      <c r="E1610" s="7" t="s">
        <v>1315</v>
      </c>
      <c r="F1610" t="s">
        <v>337</v>
      </c>
    </row>
    <row r="1611" spans="1:6">
      <c r="A1611" t="s">
        <v>1314</v>
      </c>
      <c r="B1611" t="s">
        <v>1260</v>
      </c>
      <c r="C1611" t="s">
        <v>1304</v>
      </c>
      <c r="D1611" t="s">
        <v>164</v>
      </c>
      <c r="E1611" t="s">
        <v>1321</v>
      </c>
      <c r="F1611" t="s">
        <v>337</v>
      </c>
    </row>
    <row r="1612" spans="1:6">
      <c r="A1612" t="s">
        <v>1314</v>
      </c>
      <c r="B1612" t="s">
        <v>1260</v>
      </c>
      <c r="C1612" s="7" t="s">
        <v>734</v>
      </c>
      <c r="D1612" t="s">
        <v>1264</v>
      </c>
      <c r="E1612" s="7" t="s">
        <v>1321</v>
      </c>
      <c r="F1612" t="s">
        <v>337</v>
      </c>
    </row>
    <row r="1613" spans="1:6">
      <c r="A1613" t="s">
        <v>1314</v>
      </c>
      <c r="B1613" t="s">
        <v>1260</v>
      </c>
      <c r="C1613" s="7" t="s">
        <v>1322</v>
      </c>
      <c r="D1613" t="s">
        <v>1264</v>
      </c>
      <c r="E1613" s="7" t="s">
        <v>1321</v>
      </c>
      <c r="F1613" t="s">
        <v>337</v>
      </c>
    </row>
    <row r="1614" spans="1:6">
      <c r="A1614" t="s">
        <v>1314</v>
      </c>
      <c r="B1614" t="s">
        <v>1260</v>
      </c>
      <c r="C1614" s="7" t="s">
        <v>1323</v>
      </c>
      <c r="D1614" t="s">
        <v>1264</v>
      </c>
      <c r="E1614" s="7" t="s">
        <v>1321</v>
      </c>
      <c r="F1614" t="s">
        <v>337</v>
      </c>
    </row>
    <row r="1615" spans="1:6">
      <c r="A1615" t="s">
        <v>1314</v>
      </c>
      <c r="B1615" t="s">
        <v>1260</v>
      </c>
      <c r="C1615" s="7" t="s">
        <v>1324</v>
      </c>
      <c r="D1615" t="s">
        <v>1264</v>
      </c>
      <c r="E1615" s="7" t="s">
        <v>1321</v>
      </c>
      <c r="F1615" t="s">
        <v>337</v>
      </c>
    </row>
    <row r="1616" spans="1:6">
      <c r="A1616" t="s">
        <v>1314</v>
      </c>
      <c r="B1616" t="s">
        <v>1260</v>
      </c>
      <c r="C1616" s="7" t="s">
        <v>1325</v>
      </c>
      <c r="D1616" t="s">
        <v>1264</v>
      </c>
      <c r="E1616" s="7" t="s">
        <v>1321</v>
      </c>
      <c r="F1616" t="s">
        <v>337</v>
      </c>
    </row>
    <row r="1617" spans="1:6">
      <c r="A1617" t="s">
        <v>1314</v>
      </c>
      <c r="B1617" t="s">
        <v>1260</v>
      </c>
      <c r="C1617" t="s">
        <v>370</v>
      </c>
      <c r="D1617" t="s">
        <v>164</v>
      </c>
      <c r="E1617" t="s">
        <v>1326</v>
      </c>
      <c r="F1617" t="s">
        <v>337</v>
      </c>
    </row>
    <row r="1618" spans="1:6">
      <c r="A1618" t="s">
        <v>1314</v>
      </c>
      <c r="B1618" t="s">
        <v>1260</v>
      </c>
      <c r="C1618" s="7" t="s">
        <v>1327</v>
      </c>
      <c r="D1618" t="s">
        <v>1264</v>
      </c>
      <c r="E1618" s="7" t="s">
        <v>1326</v>
      </c>
      <c r="F1618" t="s">
        <v>337</v>
      </c>
    </row>
    <row r="1619" spans="1:6">
      <c r="A1619" t="s">
        <v>1314</v>
      </c>
      <c r="B1619" t="s">
        <v>1260</v>
      </c>
      <c r="C1619" s="7" t="s">
        <v>1328</v>
      </c>
      <c r="D1619" t="s">
        <v>1264</v>
      </c>
      <c r="E1619" s="7" t="s">
        <v>1326</v>
      </c>
      <c r="F1619" t="s">
        <v>337</v>
      </c>
    </row>
    <row r="1620" spans="1:6">
      <c r="A1620" t="s">
        <v>1314</v>
      </c>
      <c r="B1620" t="s">
        <v>1260</v>
      </c>
      <c r="C1620" s="7" t="s">
        <v>1329</v>
      </c>
      <c r="D1620" t="s">
        <v>1264</v>
      </c>
      <c r="E1620" s="7" t="s">
        <v>1326</v>
      </c>
      <c r="F1620" t="s">
        <v>337</v>
      </c>
    </row>
    <row r="1621" spans="1:6">
      <c r="A1621" t="s">
        <v>1330</v>
      </c>
      <c r="B1621" t="s">
        <v>1260</v>
      </c>
      <c r="C1621" s="7" t="s">
        <v>557</v>
      </c>
      <c r="D1621" t="s">
        <v>164</v>
      </c>
      <c r="E1621" t="s">
        <v>1331</v>
      </c>
    </row>
    <row r="1622" spans="1:6">
      <c r="A1622" t="s">
        <v>1330</v>
      </c>
      <c r="B1622" t="s">
        <v>1260</v>
      </c>
      <c r="C1622" s="7" t="s">
        <v>766</v>
      </c>
      <c r="D1622" t="s">
        <v>1264</v>
      </c>
      <c r="E1622" s="7" t="s">
        <v>1331</v>
      </c>
    </row>
    <row r="1623" spans="1:6">
      <c r="A1623" t="s">
        <v>1330</v>
      </c>
      <c r="B1623" t="s">
        <v>1260</v>
      </c>
      <c r="C1623" s="7" t="s">
        <v>765</v>
      </c>
      <c r="D1623" t="s">
        <v>1264</v>
      </c>
      <c r="E1623" s="7" t="s">
        <v>1331</v>
      </c>
    </row>
    <row r="1624" spans="1:6">
      <c r="A1624" t="s">
        <v>1330</v>
      </c>
      <c r="B1624" t="s">
        <v>1260</v>
      </c>
      <c r="C1624" s="7" t="s">
        <v>767</v>
      </c>
      <c r="D1624" t="s">
        <v>1264</v>
      </c>
      <c r="E1624" s="7" t="s">
        <v>1331</v>
      </c>
    </row>
    <row r="1625" spans="1:6">
      <c r="A1625" t="s">
        <v>1330</v>
      </c>
      <c r="B1625" t="s">
        <v>1260</v>
      </c>
      <c r="C1625" s="7" t="s">
        <v>552</v>
      </c>
      <c r="D1625" t="s">
        <v>164</v>
      </c>
      <c r="E1625" t="s">
        <v>1332</v>
      </c>
      <c r="F1625" t="s">
        <v>647</v>
      </c>
    </row>
    <row r="1626" spans="1:6">
      <c r="A1626" t="s">
        <v>1330</v>
      </c>
      <c r="B1626" t="s">
        <v>1260</v>
      </c>
      <c r="C1626" s="7" t="s">
        <v>1333</v>
      </c>
      <c r="D1626" t="s">
        <v>1264</v>
      </c>
      <c r="E1626" s="7" t="s">
        <v>1332</v>
      </c>
      <c r="F1626" t="s">
        <v>647</v>
      </c>
    </row>
    <row r="1627" spans="1:6">
      <c r="A1627" t="s">
        <v>1330</v>
      </c>
      <c r="B1627" t="s">
        <v>1260</v>
      </c>
      <c r="C1627" s="7" t="s">
        <v>1334</v>
      </c>
      <c r="D1627" t="s">
        <v>1264</v>
      </c>
      <c r="E1627" s="7" t="s">
        <v>1332</v>
      </c>
      <c r="F1627" t="s">
        <v>647</v>
      </c>
    </row>
    <row r="1628" spans="1:6">
      <c r="A1628" t="s">
        <v>1330</v>
      </c>
      <c r="B1628" t="s">
        <v>1260</v>
      </c>
      <c r="C1628" s="7" t="s">
        <v>1335</v>
      </c>
      <c r="D1628" t="s">
        <v>1264</v>
      </c>
      <c r="E1628" s="7" t="s">
        <v>1332</v>
      </c>
      <c r="F1628" t="s">
        <v>647</v>
      </c>
    </row>
    <row r="1629" spans="1:6">
      <c r="A1629" t="s">
        <v>1330</v>
      </c>
      <c r="B1629" t="s">
        <v>1260</v>
      </c>
      <c r="C1629" s="7" t="s">
        <v>1336</v>
      </c>
      <c r="D1629" t="s">
        <v>1264</v>
      </c>
      <c r="E1629" s="7" t="s">
        <v>1332</v>
      </c>
      <c r="F1629" t="s">
        <v>647</v>
      </c>
    </row>
    <row r="1630" spans="1:6">
      <c r="A1630" t="s">
        <v>1330</v>
      </c>
      <c r="B1630" t="s">
        <v>1260</v>
      </c>
      <c r="C1630" s="7" t="s">
        <v>1311</v>
      </c>
      <c r="D1630" t="s">
        <v>164</v>
      </c>
      <c r="E1630" t="s">
        <v>1337</v>
      </c>
    </row>
    <row r="1631" spans="1:6">
      <c r="A1631" t="s">
        <v>1330</v>
      </c>
      <c r="B1631" t="s">
        <v>1260</v>
      </c>
      <c r="C1631" s="7" t="s">
        <v>1338</v>
      </c>
      <c r="D1631" t="s">
        <v>1264</v>
      </c>
      <c r="E1631" s="7" t="s">
        <v>1337</v>
      </c>
    </row>
    <row r="1632" spans="1:6">
      <c r="A1632" t="s">
        <v>1330</v>
      </c>
      <c r="B1632" t="s">
        <v>1260</v>
      </c>
      <c r="C1632" s="7" t="s">
        <v>1339</v>
      </c>
      <c r="D1632" t="s">
        <v>1264</v>
      </c>
      <c r="E1632" s="7" t="s">
        <v>1337</v>
      </c>
    </row>
    <row r="1633" spans="1:6">
      <c r="A1633" t="s">
        <v>1330</v>
      </c>
      <c r="B1633" t="s">
        <v>1260</v>
      </c>
      <c r="C1633" s="7" t="s">
        <v>1340</v>
      </c>
      <c r="D1633" t="s">
        <v>1264</v>
      </c>
      <c r="E1633" s="7" t="s">
        <v>1337</v>
      </c>
    </row>
    <row r="1634" spans="1:6">
      <c r="A1634" t="s">
        <v>1330</v>
      </c>
      <c r="B1634" t="s">
        <v>1260</v>
      </c>
      <c r="C1634" s="7" t="s">
        <v>1341</v>
      </c>
      <c r="D1634" t="s">
        <v>1264</v>
      </c>
      <c r="E1634" s="7" t="s">
        <v>1337</v>
      </c>
    </row>
    <row r="1635" spans="1:6">
      <c r="A1635" t="s">
        <v>1330</v>
      </c>
      <c r="B1635" t="s">
        <v>1260</v>
      </c>
      <c r="C1635" s="7" t="s">
        <v>1316</v>
      </c>
      <c r="D1635" t="s">
        <v>164</v>
      </c>
      <c r="E1635" t="s">
        <v>1342</v>
      </c>
    </row>
    <row r="1636" spans="1:6">
      <c r="A1636" t="s">
        <v>1330</v>
      </c>
      <c r="B1636" t="s">
        <v>1260</v>
      </c>
      <c r="C1636" s="7" t="s">
        <v>1343</v>
      </c>
      <c r="D1636" t="s">
        <v>1264</v>
      </c>
      <c r="E1636" s="7" t="s">
        <v>1342</v>
      </c>
    </row>
    <row r="1637" spans="1:6">
      <c r="A1637" t="s">
        <v>1330</v>
      </c>
      <c r="B1637" t="s">
        <v>1260</v>
      </c>
      <c r="C1637" s="7" t="s">
        <v>795</v>
      </c>
      <c r="D1637" t="s">
        <v>1264</v>
      </c>
      <c r="E1637" s="7" t="s">
        <v>1342</v>
      </c>
    </row>
    <row r="1638" spans="1:6">
      <c r="A1638" t="s">
        <v>1330</v>
      </c>
      <c r="B1638" t="s">
        <v>1260</v>
      </c>
      <c r="C1638" s="7" t="s">
        <v>1344</v>
      </c>
      <c r="D1638" t="s">
        <v>1264</v>
      </c>
      <c r="E1638" s="7" t="s">
        <v>1342</v>
      </c>
    </row>
    <row r="1639" spans="1:6">
      <c r="A1639" t="s">
        <v>1330</v>
      </c>
      <c r="B1639" t="s">
        <v>1260</v>
      </c>
      <c r="C1639" s="7" t="s">
        <v>1345</v>
      </c>
      <c r="D1639" t="s">
        <v>1264</v>
      </c>
      <c r="E1639" s="7" t="s">
        <v>1342</v>
      </c>
    </row>
    <row r="1640" spans="1:6">
      <c r="A1640" t="s">
        <v>1330</v>
      </c>
      <c r="B1640" t="s">
        <v>1260</v>
      </c>
      <c r="C1640" s="7" t="s">
        <v>1346</v>
      </c>
      <c r="D1640" t="s">
        <v>1264</v>
      </c>
      <c r="E1640" s="7" t="s">
        <v>1342</v>
      </c>
    </row>
    <row r="1641" spans="1:6">
      <c r="A1641" t="s">
        <v>1347</v>
      </c>
      <c r="B1641" t="s">
        <v>1260</v>
      </c>
      <c r="C1641" s="7" t="s">
        <v>1265</v>
      </c>
      <c r="D1641" t="s">
        <v>164</v>
      </c>
      <c r="E1641" t="s">
        <v>1348</v>
      </c>
    </row>
    <row r="1642" spans="1:6">
      <c r="A1642" t="s">
        <v>1347</v>
      </c>
      <c r="B1642" t="s">
        <v>1260</v>
      </c>
      <c r="C1642" s="7" t="s">
        <v>1349</v>
      </c>
      <c r="D1642" t="s">
        <v>1264</v>
      </c>
      <c r="E1642" s="7" t="s">
        <v>1348</v>
      </c>
    </row>
    <row r="1643" spans="1:6">
      <c r="A1643" t="s">
        <v>1347</v>
      </c>
      <c r="B1643" t="s">
        <v>1260</v>
      </c>
      <c r="C1643" s="7" t="s">
        <v>1350</v>
      </c>
      <c r="D1643" t="s">
        <v>1264</v>
      </c>
      <c r="E1643" s="7" t="s">
        <v>1348</v>
      </c>
    </row>
    <row r="1644" spans="1:6">
      <c r="A1644" t="s">
        <v>1347</v>
      </c>
      <c r="B1644" t="s">
        <v>1260</v>
      </c>
      <c r="C1644" s="7" t="s">
        <v>1351</v>
      </c>
      <c r="D1644" t="s">
        <v>1264</v>
      </c>
      <c r="E1644" s="7" t="s">
        <v>1348</v>
      </c>
    </row>
    <row r="1645" spans="1:6">
      <c r="A1645" t="s">
        <v>1347</v>
      </c>
      <c r="B1645" t="s">
        <v>1260</v>
      </c>
      <c r="C1645" s="7" t="s">
        <v>1352</v>
      </c>
      <c r="D1645" t="s">
        <v>1264</v>
      </c>
      <c r="E1645" s="7" t="s">
        <v>1348</v>
      </c>
    </row>
    <row r="1646" spans="1:6">
      <c r="A1646" t="s">
        <v>1347</v>
      </c>
      <c r="B1646" t="s">
        <v>1260</v>
      </c>
      <c r="C1646" s="7" t="s">
        <v>1353</v>
      </c>
      <c r="D1646" t="s">
        <v>1264</v>
      </c>
      <c r="E1646" s="7" t="s">
        <v>1348</v>
      </c>
    </row>
    <row r="1647" spans="1:6">
      <c r="A1647" t="s">
        <v>1347</v>
      </c>
      <c r="B1647" t="s">
        <v>1260</v>
      </c>
      <c r="C1647" s="7" t="s">
        <v>1354</v>
      </c>
      <c r="D1647" t="s">
        <v>164</v>
      </c>
      <c r="E1647" t="s">
        <v>1355</v>
      </c>
      <c r="F1647" t="s">
        <v>647</v>
      </c>
    </row>
    <row r="1648" spans="1:6">
      <c r="A1648" t="s">
        <v>1347</v>
      </c>
      <c r="B1648" t="s">
        <v>1260</v>
      </c>
      <c r="C1648" s="7" t="s">
        <v>1356</v>
      </c>
      <c r="D1648" t="s">
        <v>1264</v>
      </c>
      <c r="E1648" s="7" t="s">
        <v>1355</v>
      </c>
      <c r="F1648" t="s">
        <v>647</v>
      </c>
    </row>
    <row r="1649" spans="1:6">
      <c r="A1649" t="s">
        <v>1347</v>
      </c>
      <c r="B1649" t="s">
        <v>1260</v>
      </c>
      <c r="C1649" s="7" t="s">
        <v>1357</v>
      </c>
      <c r="D1649" t="s">
        <v>1264</v>
      </c>
      <c r="E1649" s="7" t="s">
        <v>1355</v>
      </c>
      <c r="F1649" t="s">
        <v>647</v>
      </c>
    </row>
    <row r="1650" spans="1:6">
      <c r="A1650" t="s">
        <v>1347</v>
      </c>
      <c r="B1650" t="s">
        <v>1260</v>
      </c>
      <c r="C1650" s="7" t="s">
        <v>1358</v>
      </c>
      <c r="D1650" t="s">
        <v>1264</v>
      </c>
      <c r="E1650" s="7" t="s">
        <v>1355</v>
      </c>
      <c r="F1650" t="s">
        <v>647</v>
      </c>
    </row>
    <row r="1651" spans="1:6">
      <c r="A1651" t="s">
        <v>1347</v>
      </c>
      <c r="B1651" t="s">
        <v>1260</v>
      </c>
      <c r="C1651" s="7" t="s">
        <v>1359</v>
      </c>
      <c r="D1651" t="s">
        <v>1264</v>
      </c>
      <c r="E1651" s="7" t="s">
        <v>1355</v>
      </c>
      <c r="F1651" t="s">
        <v>647</v>
      </c>
    </row>
    <row r="1652" spans="1:6">
      <c r="A1652" t="s">
        <v>1347</v>
      </c>
      <c r="B1652" t="s">
        <v>1260</v>
      </c>
      <c r="C1652" s="7" t="s">
        <v>1360</v>
      </c>
      <c r="D1652" t="s">
        <v>1264</v>
      </c>
      <c r="E1652" s="7" t="s">
        <v>1355</v>
      </c>
      <c r="F1652" t="s">
        <v>647</v>
      </c>
    </row>
    <row r="1653" spans="1:6">
      <c r="A1653" t="s">
        <v>1347</v>
      </c>
      <c r="B1653" t="s">
        <v>1260</v>
      </c>
      <c r="C1653" s="7" t="s">
        <v>1361</v>
      </c>
      <c r="D1653" t="s">
        <v>1264</v>
      </c>
      <c r="E1653" s="7" t="s">
        <v>1355</v>
      </c>
      <c r="F1653" t="s">
        <v>647</v>
      </c>
    </row>
    <row r="1654" spans="1:6">
      <c r="A1654" t="s">
        <v>1347</v>
      </c>
      <c r="B1654" t="s">
        <v>1260</v>
      </c>
      <c r="C1654" s="7" t="s">
        <v>795</v>
      </c>
      <c r="D1654" t="s">
        <v>164</v>
      </c>
      <c r="E1654" t="s">
        <v>1362</v>
      </c>
    </row>
    <row r="1655" spans="1:6">
      <c r="A1655" t="s">
        <v>1347</v>
      </c>
      <c r="B1655" t="s">
        <v>1260</v>
      </c>
      <c r="C1655" s="7" t="s">
        <v>1363</v>
      </c>
      <c r="D1655" t="s">
        <v>1264</v>
      </c>
      <c r="E1655" s="7" t="s">
        <v>1362</v>
      </c>
    </row>
    <row r="1656" spans="1:6">
      <c r="A1656" t="s">
        <v>1347</v>
      </c>
      <c r="B1656" t="s">
        <v>1260</v>
      </c>
      <c r="C1656" s="7" t="s">
        <v>797</v>
      </c>
      <c r="D1656" t="s">
        <v>1264</v>
      </c>
      <c r="E1656" s="7" t="s">
        <v>1362</v>
      </c>
    </row>
    <row r="1657" spans="1:6">
      <c r="A1657" t="s">
        <v>1347</v>
      </c>
      <c r="B1657" t="s">
        <v>1260</v>
      </c>
      <c r="C1657" s="7" t="s">
        <v>1364</v>
      </c>
      <c r="D1657" t="s">
        <v>1264</v>
      </c>
      <c r="E1657" s="7" t="s">
        <v>1362</v>
      </c>
    </row>
    <row r="1658" spans="1:6">
      <c r="A1658" t="s">
        <v>1347</v>
      </c>
      <c r="B1658" t="s">
        <v>1260</v>
      </c>
      <c r="C1658" s="7" t="s">
        <v>798</v>
      </c>
      <c r="D1658" t="s">
        <v>1264</v>
      </c>
      <c r="E1658" s="7" t="s">
        <v>1362</v>
      </c>
    </row>
    <row r="1659" spans="1:6">
      <c r="A1659" t="s">
        <v>1347</v>
      </c>
      <c r="B1659" t="s">
        <v>1260</v>
      </c>
      <c r="C1659" s="7" t="s">
        <v>1341</v>
      </c>
      <c r="D1659" t="s">
        <v>164</v>
      </c>
      <c r="E1659" t="s">
        <v>1365</v>
      </c>
      <c r="F1659" t="s">
        <v>337</v>
      </c>
    </row>
    <row r="1660" spans="1:6">
      <c r="A1660" t="s">
        <v>1347</v>
      </c>
      <c r="B1660" t="s">
        <v>1260</v>
      </c>
      <c r="C1660" s="7" t="s">
        <v>1366</v>
      </c>
      <c r="D1660" t="s">
        <v>1264</v>
      </c>
      <c r="E1660" s="7" t="s">
        <v>1365</v>
      </c>
      <c r="F1660" t="s">
        <v>337</v>
      </c>
    </row>
    <row r="1661" spans="1:6">
      <c r="A1661" t="s">
        <v>1347</v>
      </c>
      <c r="B1661" t="s">
        <v>1260</v>
      </c>
      <c r="C1661" s="7" t="s">
        <v>1367</v>
      </c>
      <c r="D1661" t="s">
        <v>1264</v>
      </c>
      <c r="E1661" s="7" t="s">
        <v>1365</v>
      </c>
      <c r="F1661" t="s">
        <v>337</v>
      </c>
    </row>
    <row r="1662" spans="1:6">
      <c r="A1662" t="s">
        <v>1347</v>
      </c>
      <c r="B1662" t="s">
        <v>1260</v>
      </c>
      <c r="C1662" s="7" t="s">
        <v>1368</v>
      </c>
      <c r="D1662" t="s">
        <v>1264</v>
      </c>
      <c r="E1662" s="7" t="s">
        <v>1365</v>
      </c>
      <c r="F1662" t="s">
        <v>337</v>
      </c>
    </row>
    <row r="1663" spans="1:6">
      <c r="A1663" t="s">
        <v>1347</v>
      </c>
      <c r="B1663" t="s">
        <v>1260</v>
      </c>
      <c r="C1663" s="7" t="s">
        <v>1369</v>
      </c>
      <c r="D1663" t="s">
        <v>1264</v>
      </c>
      <c r="E1663" s="7" t="s">
        <v>1365</v>
      </c>
      <c r="F1663" t="s">
        <v>337</v>
      </c>
    </row>
    <row r="1664" spans="1:6">
      <c r="A1664" t="s">
        <v>1347</v>
      </c>
      <c r="B1664" t="s">
        <v>1260</v>
      </c>
      <c r="C1664" s="7" t="s">
        <v>1370</v>
      </c>
      <c r="D1664" t="s">
        <v>1264</v>
      </c>
      <c r="E1664" s="7" t="s">
        <v>1365</v>
      </c>
      <c r="F1664" t="s">
        <v>337</v>
      </c>
    </row>
    <row r="1665" spans="1:6">
      <c r="A1665" t="s">
        <v>1347</v>
      </c>
      <c r="B1665" t="s">
        <v>1260</v>
      </c>
      <c r="C1665" s="7" t="s">
        <v>652</v>
      </c>
      <c r="D1665" t="s">
        <v>164</v>
      </c>
      <c r="E1665" t="s">
        <v>1371</v>
      </c>
    </row>
    <row r="1666" spans="1:6">
      <c r="A1666" t="s">
        <v>1347</v>
      </c>
      <c r="B1666" t="s">
        <v>1260</v>
      </c>
      <c r="C1666" s="7" t="s">
        <v>1372</v>
      </c>
      <c r="D1666" t="s">
        <v>1264</v>
      </c>
      <c r="E1666" s="7" t="s">
        <v>1371</v>
      </c>
    </row>
    <row r="1667" spans="1:6">
      <c r="A1667" t="s">
        <v>1347</v>
      </c>
      <c r="B1667" t="s">
        <v>1260</v>
      </c>
      <c r="C1667" s="7" t="s">
        <v>1373</v>
      </c>
      <c r="D1667" t="s">
        <v>1264</v>
      </c>
      <c r="E1667" s="7" t="s">
        <v>1371</v>
      </c>
    </row>
    <row r="1668" spans="1:6">
      <c r="A1668" t="s">
        <v>1347</v>
      </c>
      <c r="B1668" t="s">
        <v>1260</v>
      </c>
      <c r="C1668" s="7" t="s">
        <v>1374</v>
      </c>
      <c r="D1668" t="s">
        <v>1264</v>
      </c>
      <c r="E1668" s="7" t="s">
        <v>1371</v>
      </c>
    </row>
    <row r="1669" spans="1:6">
      <c r="A1669" t="s">
        <v>1347</v>
      </c>
      <c r="B1669" t="s">
        <v>1260</v>
      </c>
      <c r="C1669" s="7" t="s">
        <v>1375</v>
      </c>
      <c r="D1669" t="s">
        <v>1264</v>
      </c>
      <c r="E1669" s="7" t="s">
        <v>1371</v>
      </c>
    </row>
    <row r="1670" spans="1:6">
      <c r="A1670" t="s">
        <v>1347</v>
      </c>
      <c r="B1670" t="s">
        <v>1260</v>
      </c>
      <c r="C1670" s="7" t="s">
        <v>1376</v>
      </c>
      <c r="D1670" t="s">
        <v>1264</v>
      </c>
      <c r="E1670" s="7" t="s">
        <v>1371</v>
      </c>
    </row>
    <row r="1671" spans="1:6">
      <c r="A1671" t="s">
        <v>1377</v>
      </c>
      <c r="B1671" t="s">
        <v>1260</v>
      </c>
      <c r="C1671" s="7" t="s">
        <v>1322</v>
      </c>
      <c r="D1671" t="s">
        <v>164</v>
      </c>
      <c r="E1671" t="s">
        <v>1378</v>
      </c>
      <c r="F1671" t="s">
        <v>337</v>
      </c>
    </row>
    <row r="1672" spans="1:6">
      <c r="A1672" t="s">
        <v>1377</v>
      </c>
      <c r="B1672" t="s">
        <v>1260</v>
      </c>
      <c r="C1672" s="7" t="s">
        <v>886</v>
      </c>
      <c r="D1672" t="s">
        <v>1264</v>
      </c>
      <c r="E1672" s="7" t="s">
        <v>1378</v>
      </c>
      <c r="F1672" t="s">
        <v>337</v>
      </c>
    </row>
    <row r="1673" spans="1:6">
      <c r="A1673" t="s">
        <v>1377</v>
      </c>
      <c r="B1673" t="s">
        <v>1260</v>
      </c>
      <c r="C1673" s="7" t="s">
        <v>1379</v>
      </c>
      <c r="D1673" t="s">
        <v>1264</v>
      </c>
      <c r="E1673" s="7" t="s">
        <v>1378</v>
      </c>
      <c r="F1673" t="s">
        <v>337</v>
      </c>
    </row>
    <row r="1674" spans="1:6">
      <c r="A1674" t="s">
        <v>1377</v>
      </c>
      <c r="B1674" t="s">
        <v>1260</v>
      </c>
      <c r="C1674" s="7" t="s">
        <v>1380</v>
      </c>
      <c r="D1674" t="s">
        <v>1264</v>
      </c>
      <c r="E1674" s="7" t="s">
        <v>1378</v>
      </c>
      <c r="F1674" t="s">
        <v>337</v>
      </c>
    </row>
    <row r="1675" spans="1:6">
      <c r="A1675" t="s">
        <v>1377</v>
      </c>
      <c r="B1675" t="s">
        <v>1260</v>
      </c>
      <c r="C1675" s="7" t="s">
        <v>1381</v>
      </c>
      <c r="D1675" t="s">
        <v>1264</v>
      </c>
      <c r="E1675" s="7" t="s">
        <v>1378</v>
      </c>
      <c r="F1675" t="s">
        <v>337</v>
      </c>
    </row>
    <row r="1676" spans="1:6">
      <c r="A1676" t="s">
        <v>1377</v>
      </c>
      <c r="B1676" t="s">
        <v>1260</v>
      </c>
      <c r="C1676" s="7" t="s">
        <v>1375</v>
      </c>
      <c r="D1676" t="s">
        <v>164</v>
      </c>
      <c r="E1676" t="s">
        <v>1382</v>
      </c>
      <c r="F1676" t="s">
        <v>647</v>
      </c>
    </row>
    <row r="1677" spans="1:6">
      <c r="A1677" t="s">
        <v>1377</v>
      </c>
      <c r="B1677" t="s">
        <v>1260</v>
      </c>
      <c r="C1677" s="7" t="s">
        <v>1383</v>
      </c>
      <c r="D1677" t="s">
        <v>1264</v>
      </c>
      <c r="E1677" s="7" t="s">
        <v>1382</v>
      </c>
      <c r="F1677" t="s">
        <v>647</v>
      </c>
    </row>
    <row r="1678" spans="1:6">
      <c r="A1678" t="s">
        <v>1377</v>
      </c>
      <c r="B1678" t="s">
        <v>1260</v>
      </c>
      <c r="C1678" s="7" t="s">
        <v>1384</v>
      </c>
      <c r="D1678" t="s">
        <v>1264</v>
      </c>
      <c r="E1678" s="7" t="s">
        <v>1382</v>
      </c>
      <c r="F1678" t="s">
        <v>647</v>
      </c>
    </row>
    <row r="1679" spans="1:6">
      <c r="A1679" t="s">
        <v>1377</v>
      </c>
      <c r="B1679" t="s">
        <v>1260</v>
      </c>
      <c r="C1679" s="7" t="s">
        <v>1385</v>
      </c>
      <c r="D1679" t="s">
        <v>1264</v>
      </c>
      <c r="E1679" s="7" t="s">
        <v>1382</v>
      </c>
      <c r="F1679" t="s">
        <v>647</v>
      </c>
    </row>
    <row r="1680" spans="1:6">
      <c r="A1680" t="s">
        <v>1377</v>
      </c>
      <c r="B1680" t="s">
        <v>1260</v>
      </c>
      <c r="C1680" s="7" t="s">
        <v>1386</v>
      </c>
      <c r="D1680" t="s">
        <v>1264</v>
      </c>
      <c r="E1680" s="7" t="s">
        <v>1382</v>
      </c>
      <c r="F1680" t="s">
        <v>647</v>
      </c>
    </row>
    <row r="1681" spans="1:6">
      <c r="A1681" t="s">
        <v>1377</v>
      </c>
      <c r="B1681" t="s">
        <v>1260</v>
      </c>
      <c r="C1681" s="7" t="s">
        <v>1349</v>
      </c>
      <c r="D1681" t="s">
        <v>164</v>
      </c>
      <c r="E1681" t="s">
        <v>1387</v>
      </c>
      <c r="F1681" t="s">
        <v>337</v>
      </c>
    </row>
    <row r="1682" spans="1:6">
      <c r="A1682" t="s">
        <v>1377</v>
      </c>
      <c r="B1682" t="s">
        <v>1260</v>
      </c>
      <c r="C1682" s="7" t="s">
        <v>1388</v>
      </c>
      <c r="D1682" t="s">
        <v>1264</v>
      </c>
      <c r="E1682" s="7" t="s">
        <v>1387</v>
      </c>
      <c r="F1682" t="s">
        <v>337</v>
      </c>
    </row>
    <row r="1683" spans="1:6">
      <c r="A1683" t="s">
        <v>1377</v>
      </c>
      <c r="B1683" t="s">
        <v>1260</v>
      </c>
      <c r="C1683" s="7" t="s">
        <v>1389</v>
      </c>
      <c r="D1683" t="s">
        <v>1264</v>
      </c>
      <c r="E1683" s="7" t="s">
        <v>1387</v>
      </c>
      <c r="F1683" t="s">
        <v>337</v>
      </c>
    </row>
    <row r="1684" spans="1:6">
      <c r="A1684" t="s">
        <v>1377</v>
      </c>
      <c r="B1684" t="s">
        <v>1260</v>
      </c>
      <c r="C1684" s="7" t="s">
        <v>1390</v>
      </c>
      <c r="D1684" t="s">
        <v>1264</v>
      </c>
      <c r="E1684" s="7" t="s">
        <v>1387</v>
      </c>
      <c r="F1684" t="s">
        <v>337</v>
      </c>
    </row>
    <row r="1685" spans="1:6">
      <c r="A1685" t="s">
        <v>1377</v>
      </c>
      <c r="B1685" t="s">
        <v>1260</v>
      </c>
      <c r="C1685" s="7" t="s">
        <v>1374</v>
      </c>
      <c r="D1685" t="s">
        <v>164</v>
      </c>
      <c r="E1685" t="s">
        <v>1391</v>
      </c>
      <c r="F1685" t="s">
        <v>647</v>
      </c>
    </row>
    <row r="1686" spans="1:6">
      <c r="A1686" t="s">
        <v>1377</v>
      </c>
      <c r="B1686" t="s">
        <v>1260</v>
      </c>
      <c r="C1686" s="7" t="s">
        <v>1392</v>
      </c>
      <c r="D1686" t="s">
        <v>1264</v>
      </c>
      <c r="E1686" s="7" t="s">
        <v>1391</v>
      </c>
      <c r="F1686" t="s">
        <v>647</v>
      </c>
    </row>
    <row r="1687" spans="1:6">
      <c r="A1687" t="s">
        <v>1377</v>
      </c>
      <c r="B1687" t="s">
        <v>1260</v>
      </c>
      <c r="C1687" s="7" t="s">
        <v>1393</v>
      </c>
      <c r="D1687" t="s">
        <v>1264</v>
      </c>
      <c r="E1687" s="7" t="s">
        <v>1391</v>
      </c>
      <c r="F1687" t="s">
        <v>647</v>
      </c>
    </row>
    <row r="1688" spans="1:6">
      <c r="A1688" t="s">
        <v>1377</v>
      </c>
      <c r="B1688" t="s">
        <v>1260</v>
      </c>
      <c r="C1688" s="7" t="s">
        <v>1394</v>
      </c>
      <c r="D1688" t="s">
        <v>1264</v>
      </c>
      <c r="E1688" s="7" t="s">
        <v>1391</v>
      </c>
      <c r="F1688" t="s">
        <v>647</v>
      </c>
    </row>
    <row r="1689" spans="1:6">
      <c r="A1689" t="s">
        <v>1377</v>
      </c>
      <c r="B1689" t="s">
        <v>1260</v>
      </c>
      <c r="C1689" s="7" t="s">
        <v>1395</v>
      </c>
      <c r="D1689" t="s">
        <v>1264</v>
      </c>
      <c r="E1689" s="7" t="s">
        <v>1391</v>
      </c>
      <c r="F1689" t="s">
        <v>647</v>
      </c>
    </row>
    <row r="1690" spans="1:6">
      <c r="A1690" t="s">
        <v>1396</v>
      </c>
      <c r="B1690" t="s">
        <v>1260</v>
      </c>
      <c r="C1690" t="s">
        <v>1385</v>
      </c>
      <c r="D1690" t="s">
        <v>164</v>
      </c>
      <c r="E1690" t="s">
        <v>1397</v>
      </c>
      <c r="F1690" t="s">
        <v>647</v>
      </c>
    </row>
    <row r="1691" spans="1:6">
      <c r="A1691" t="s">
        <v>1396</v>
      </c>
      <c r="B1691" t="s">
        <v>1260</v>
      </c>
      <c r="C1691" s="7" t="s">
        <v>1398</v>
      </c>
      <c r="D1691" t="s">
        <v>1264</v>
      </c>
      <c r="E1691" s="7" t="s">
        <v>1397</v>
      </c>
      <c r="F1691" t="s">
        <v>647</v>
      </c>
    </row>
    <row r="1692" spans="1:6">
      <c r="A1692" t="s">
        <v>1396</v>
      </c>
      <c r="B1692" t="s">
        <v>1260</v>
      </c>
      <c r="C1692" s="7" t="s">
        <v>1399</v>
      </c>
      <c r="D1692" t="s">
        <v>1264</v>
      </c>
      <c r="E1692" s="7" t="s">
        <v>1397</v>
      </c>
      <c r="F1692" t="s">
        <v>647</v>
      </c>
    </row>
    <row r="1693" spans="1:6">
      <c r="A1693" t="s">
        <v>1396</v>
      </c>
      <c r="B1693" t="s">
        <v>1260</v>
      </c>
      <c r="C1693" s="7" t="s">
        <v>1400</v>
      </c>
      <c r="D1693" t="s">
        <v>1264</v>
      </c>
      <c r="E1693" s="7" t="s">
        <v>1397</v>
      </c>
      <c r="F1693" t="s">
        <v>647</v>
      </c>
    </row>
    <row r="1694" spans="1:6">
      <c r="A1694" t="s">
        <v>1396</v>
      </c>
      <c r="B1694" t="s">
        <v>1260</v>
      </c>
      <c r="C1694" t="s">
        <v>1394</v>
      </c>
      <c r="D1694" t="s">
        <v>164</v>
      </c>
      <c r="E1694" t="s">
        <v>1401</v>
      </c>
      <c r="F1694" t="s">
        <v>337</v>
      </c>
    </row>
    <row r="1695" spans="1:6">
      <c r="A1695" t="s">
        <v>1396</v>
      </c>
      <c r="B1695" t="s">
        <v>1260</v>
      </c>
      <c r="C1695" s="7" t="s">
        <v>980</v>
      </c>
      <c r="D1695" t="s">
        <v>1264</v>
      </c>
      <c r="E1695" s="7" t="s">
        <v>1401</v>
      </c>
      <c r="F1695" t="s">
        <v>337</v>
      </c>
    </row>
    <row r="1696" spans="1:6">
      <c r="A1696" t="s">
        <v>1396</v>
      </c>
      <c r="B1696" t="s">
        <v>1260</v>
      </c>
      <c r="C1696" s="7" t="s">
        <v>1402</v>
      </c>
      <c r="D1696" t="s">
        <v>1264</v>
      </c>
      <c r="E1696" s="7" t="s">
        <v>1401</v>
      </c>
      <c r="F1696" t="s">
        <v>337</v>
      </c>
    </row>
    <row r="1697" spans="1:6">
      <c r="A1697" t="s">
        <v>1396</v>
      </c>
      <c r="B1697" t="s">
        <v>1260</v>
      </c>
      <c r="C1697" s="7" t="s">
        <v>1403</v>
      </c>
      <c r="D1697" t="s">
        <v>1264</v>
      </c>
      <c r="E1697" s="7" t="s">
        <v>1401</v>
      </c>
      <c r="F1697" t="s">
        <v>337</v>
      </c>
    </row>
    <row r="1698" spans="1:6">
      <c r="A1698" t="s">
        <v>1396</v>
      </c>
      <c r="B1698" t="s">
        <v>1260</v>
      </c>
      <c r="C1698" s="7" t="s">
        <v>1195</v>
      </c>
      <c r="D1698" t="s">
        <v>1264</v>
      </c>
      <c r="E1698" s="7" t="s">
        <v>1401</v>
      </c>
      <c r="F1698" t="s">
        <v>337</v>
      </c>
    </row>
    <row r="1699" spans="1:6">
      <c r="A1699">
        <v>2022</v>
      </c>
      <c r="B1699" t="s">
        <v>1260</v>
      </c>
      <c r="C1699" s="7" t="s">
        <v>1404</v>
      </c>
      <c r="D1699" t="s">
        <v>1264</v>
      </c>
      <c r="E1699" s="7" t="s">
        <v>1405</v>
      </c>
      <c r="F1699" t="s">
        <v>337</v>
      </c>
    </row>
    <row r="1700" spans="1:6">
      <c r="A1700">
        <v>2022</v>
      </c>
      <c r="B1700" t="s">
        <v>1260</v>
      </c>
      <c r="C1700" s="7" t="s">
        <v>1406</v>
      </c>
      <c r="D1700" t="s">
        <v>1264</v>
      </c>
      <c r="E1700" s="7" t="s">
        <v>1405</v>
      </c>
      <c r="F1700" t="s">
        <v>337</v>
      </c>
    </row>
    <row r="1701" spans="1:6">
      <c r="A1701">
        <v>2022</v>
      </c>
      <c r="B1701" t="s">
        <v>1260</v>
      </c>
      <c r="C1701" s="7" t="s">
        <v>1407</v>
      </c>
      <c r="D1701" t="s">
        <v>1264</v>
      </c>
      <c r="E1701" s="7" t="s">
        <v>1405</v>
      </c>
      <c r="F1701" t="s">
        <v>337</v>
      </c>
    </row>
    <row r="1702" spans="1:6">
      <c r="A1702">
        <v>2022</v>
      </c>
      <c r="B1702" t="s">
        <v>1260</v>
      </c>
      <c r="C1702" s="7" t="s">
        <v>1408</v>
      </c>
      <c r="D1702" t="s">
        <v>1264</v>
      </c>
      <c r="E1702" s="7" t="s">
        <v>1405</v>
      </c>
      <c r="F1702" t="s">
        <v>337</v>
      </c>
    </row>
    <row r="1703" spans="1:6">
      <c r="A1703">
        <v>2022</v>
      </c>
      <c r="B1703" t="s">
        <v>1260</v>
      </c>
      <c r="C1703" s="7" t="s">
        <v>1409</v>
      </c>
      <c r="D1703" t="s">
        <v>1264</v>
      </c>
      <c r="E1703" s="7" t="s">
        <v>1410</v>
      </c>
      <c r="F1703" t="s">
        <v>337</v>
      </c>
    </row>
    <row r="1704" spans="1:6">
      <c r="A1704">
        <v>2022</v>
      </c>
      <c r="B1704" t="s">
        <v>1260</v>
      </c>
      <c r="C1704" s="7" t="s">
        <v>1411</v>
      </c>
      <c r="D1704" t="s">
        <v>1264</v>
      </c>
      <c r="E1704" s="7" t="s">
        <v>1410</v>
      </c>
      <c r="F1704" t="s">
        <v>337</v>
      </c>
    </row>
    <row r="1705" spans="1:6">
      <c r="A1705">
        <v>2023</v>
      </c>
      <c r="B1705" t="s">
        <v>1260</v>
      </c>
      <c r="C1705" s="7" t="s">
        <v>1412</v>
      </c>
      <c r="D1705" t="s">
        <v>1264</v>
      </c>
      <c r="E1705" s="7" t="s">
        <v>1413</v>
      </c>
      <c r="F1705" t="s">
        <v>337</v>
      </c>
    </row>
    <row r="1706" spans="1:6">
      <c r="A1706">
        <v>2023</v>
      </c>
      <c r="B1706" t="s">
        <v>1260</v>
      </c>
      <c r="C1706" s="7" t="s">
        <v>1414</v>
      </c>
      <c r="D1706" t="s">
        <v>1264</v>
      </c>
      <c r="E1706" s="7" t="s">
        <v>1413</v>
      </c>
      <c r="F1706" t="s">
        <v>337</v>
      </c>
    </row>
    <row r="1707" spans="1:6">
      <c r="A1707">
        <v>2023</v>
      </c>
      <c r="B1707" t="s">
        <v>1260</v>
      </c>
      <c r="C1707" s="7" t="s">
        <v>1415</v>
      </c>
      <c r="D1707" t="s">
        <v>1264</v>
      </c>
      <c r="E1707" s="7" t="s">
        <v>1416</v>
      </c>
      <c r="F1707" t="s">
        <v>337</v>
      </c>
    </row>
    <row r="1708" spans="1:6">
      <c r="A1708">
        <v>2023</v>
      </c>
      <c r="B1708" t="s">
        <v>1260</v>
      </c>
      <c r="C1708" s="7" t="s">
        <v>1417</v>
      </c>
      <c r="D1708" t="s">
        <v>1264</v>
      </c>
      <c r="E1708" s="7" t="s">
        <v>1418</v>
      </c>
      <c r="F1708" t="s">
        <v>337</v>
      </c>
    </row>
    <row r="1709" spans="1:6">
      <c r="A1709">
        <v>2023</v>
      </c>
      <c r="B1709" t="s">
        <v>1260</v>
      </c>
      <c r="C1709" s="7" t="s">
        <v>1419</v>
      </c>
      <c r="D1709" t="s">
        <v>1264</v>
      </c>
      <c r="E1709" s="7" t="s">
        <v>1420</v>
      </c>
      <c r="F1709" t="s">
        <v>337</v>
      </c>
    </row>
    <row r="1710" spans="1:6">
      <c r="A1710">
        <v>2024</v>
      </c>
      <c r="B1710" t="s">
        <v>1260</v>
      </c>
      <c r="C1710" s="7" t="s">
        <v>1421</v>
      </c>
      <c r="D1710" t="s">
        <v>1264</v>
      </c>
      <c r="E1710" s="7" t="s">
        <v>1422</v>
      </c>
      <c r="F1710" t="s">
        <v>337</v>
      </c>
    </row>
    <row r="1711" spans="1:6">
      <c r="A1711">
        <v>2024</v>
      </c>
      <c r="B1711" t="s">
        <v>1260</v>
      </c>
      <c r="C1711" s="7" t="s">
        <v>1423</v>
      </c>
      <c r="D1711" t="s">
        <v>1264</v>
      </c>
      <c r="E1711" s="7" t="s">
        <v>1424</v>
      </c>
      <c r="F1711" t="s">
        <v>337</v>
      </c>
    </row>
    <row r="1712" spans="1:6">
      <c r="A1712">
        <v>2024</v>
      </c>
      <c r="B1712" t="s">
        <v>1260</v>
      </c>
      <c r="C1712" s="7" t="s">
        <v>1425</v>
      </c>
      <c r="D1712" t="s">
        <v>1264</v>
      </c>
      <c r="E1712" s="7" t="s">
        <v>1426</v>
      </c>
      <c r="F1712" t="s">
        <v>337</v>
      </c>
    </row>
    <row r="1713" spans="1:6">
      <c r="A1713">
        <v>2024</v>
      </c>
      <c r="B1713" t="s">
        <v>1260</v>
      </c>
      <c r="C1713" s="7" t="s">
        <v>1427</v>
      </c>
      <c r="D1713" t="s">
        <v>1264</v>
      </c>
      <c r="E1713" s="7" t="s">
        <v>1426</v>
      </c>
      <c r="F1713" t="s">
        <v>337</v>
      </c>
    </row>
    <row r="1714" spans="1:6">
      <c r="A1714">
        <v>2024</v>
      </c>
      <c r="B1714" t="s">
        <v>1260</v>
      </c>
      <c r="C1714" s="7" t="s">
        <v>1428</v>
      </c>
      <c r="D1714" t="s">
        <v>1264</v>
      </c>
      <c r="E1714" s="7" t="s">
        <v>1429</v>
      </c>
      <c r="F1714" t="s">
        <v>337</v>
      </c>
    </row>
    <row r="1715" spans="1:6">
      <c r="A1715">
        <v>2024</v>
      </c>
      <c r="B1715" t="s">
        <v>1260</v>
      </c>
      <c r="C1715" s="7" t="s">
        <v>1430</v>
      </c>
      <c r="D1715" t="s">
        <v>1264</v>
      </c>
      <c r="E1715" s="7" t="s">
        <v>1431</v>
      </c>
      <c r="F1715" t="s">
        <v>337</v>
      </c>
    </row>
    <row r="1716" spans="1:6">
      <c r="A1716">
        <v>2024</v>
      </c>
      <c r="B1716" t="s">
        <v>1260</v>
      </c>
      <c r="C1716" s="7" t="s">
        <v>1432</v>
      </c>
      <c r="D1716" t="s">
        <v>1264</v>
      </c>
      <c r="E1716" s="7" t="s">
        <v>1431</v>
      </c>
      <c r="F1716" t="s">
        <v>337</v>
      </c>
    </row>
    <row r="1717" spans="1:6">
      <c r="A1717">
        <v>2024</v>
      </c>
      <c r="B1717" t="s">
        <v>1260</v>
      </c>
      <c r="C1717" s="7" t="s">
        <v>1433</v>
      </c>
      <c r="D1717" t="s">
        <v>1264</v>
      </c>
      <c r="E1717" s="7" t="s">
        <v>1434</v>
      </c>
      <c r="F1717" t="s">
        <v>337</v>
      </c>
    </row>
    <row r="1718" spans="1:6">
      <c r="A1718">
        <v>2025</v>
      </c>
      <c r="B1718" t="s">
        <v>1260</v>
      </c>
      <c r="C1718" s="7" t="s">
        <v>1435</v>
      </c>
      <c r="D1718" t="s">
        <v>1264</v>
      </c>
      <c r="E1718" s="7" t="s">
        <v>1436</v>
      </c>
      <c r="F1718" t="s">
        <v>337</v>
      </c>
    </row>
    <row r="1719" spans="1:6">
      <c r="A1719">
        <v>2025</v>
      </c>
      <c r="B1719" t="s">
        <v>1260</v>
      </c>
      <c r="C1719" s="7" t="s">
        <v>1437</v>
      </c>
      <c r="D1719" t="s">
        <v>1264</v>
      </c>
      <c r="E1719" s="7" t="s">
        <v>1438</v>
      </c>
      <c r="F1719" t="s">
        <v>337</v>
      </c>
    </row>
    <row r="1720" spans="1:6">
      <c r="A1720">
        <v>2025</v>
      </c>
      <c r="B1720" t="s">
        <v>1260</v>
      </c>
      <c r="C1720" s="7" t="s">
        <v>1439</v>
      </c>
      <c r="D1720" t="s">
        <v>1264</v>
      </c>
      <c r="E1720" s="7" t="s">
        <v>1440</v>
      </c>
      <c r="F1720" t="s">
        <v>337</v>
      </c>
    </row>
    <row r="1721" spans="1:6">
      <c r="A1721">
        <v>2025</v>
      </c>
      <c r="B1721" t="s">
        <v>1260</v>
      </c>
      <c r="C1721" s="7" t="s">
        <v>1441</v>
      </c>
      <c r="D1721" t="s">
        <v>1264</v>
      </c>
      <c r="E1721" s="7" t="s">
        <v>1422</v>
      </c>
      <c r="F1721" t="s">
        <v>337</v>
      </c>
    </row>
    <row r="1722" spans="1:6">
      <c r="A1722">
        <v>2025</v>
      </c>
      <c r="B1722" t="s">
        <v>1260</v>
      </c>
      <c r="C1722" s="7" t="s">
        <v>1442</v>
      </c>
      <c r="D1722" t="s">
        <v>1264</v>
      </c>
      <c r="E1722" s="7" t="s">
        <v>1144</v>
      </c>
      <c r="F1722" t="s">
        <v>337</v>
      </c>
    </row>
    <row r="1723" spans="1:6">
      <c r="A1723">
        <v>2025</v>
      </c>
      <c r="B1723" t="s">
        <v>1260</v>
      </c>
      <c r="C1723" s="7" t="s">
        <v>1443</v>
      </c>
      <c r="D1723" t="s">
        <v>1264</v>
      </c>
      <c r="E1723" s="7" t="s">
        <v>1422</v>
      </c>
      <c r="F1723" t="s">
        <v>337</v>
      </c>
    </row>
    <row r="1724" spans="1:6">
      <c r="A1724">
        <v>2026</v>
      </c>
      <c r="B1724" t="s">
        <v>1260</v>
      </c>
      <c r="C1724" s="7" t="s">
        <v>1444</v>
      </c>
      <c r="D1724" t="s">
        <v>1264</v>
      </c>
      <c r="E1724" s="7" t="s">
        <v>1445</v>
      </c>
      <c r="F1724" t="s">
        <v>337</v>
      </c>
    </row>
    <row r="1725" spans="1:6">
      <c r="A1725">
        <v>2026</v>
      </c>
      <c r="B1725" t="s">
        <v>1260</v>
      </c>
      <c r="C1725" s="7" t="s">
        <v>1446</v>
      </c>
      <c r="D1725" t="s">
        <v>1264</v>
      </c>
      <c r="E1725" s="7" t="s">
        <v>1447</v>
      </c>
      <c r="F1725" t="s">
        <v>337</v>
      </c>
    </row>
    <row r="1726" spans="1:6">
      <c r="A1726">
        <v>2026</v>
      </c>
      <c r="B1726" t="s">
        <v>1260</v>
      </c>
      <c r="C1726" s="7" t="s">
        <v>1448</v>
      </c>
      <c r="D1726" t="s">
        <v>1264</v>
      </c>
      <c r="E1726" s="7" t="s">
        <v>1449</v>
      </c>
      <c r="F1726" t="s">
        <v>337</v>
      </c>
    </row>
    <row r="1727" spans="1:6" ht="29.1">
      <c r="A1727">
        <v>2026</v>
      </c>
      <c r="B1727" t="s">
        <v>1260</v>
      </c>
      <c r="C1727" s="9" t="s">
        <v>1450</v>
      </c>
      <c r="D1727" t="s">
        <v>1264</v>
      </c>
      <c r="E1727" s="9" t="s">
        <v>1451</v>
      </c>
      <c r="F1727" t="s">
        <v>337</v>
      </c>
    </row>
    <row r="1728" spans="1:6" ht="29.1">
      <c r="A1728">
        <v>2026</v>
      </c>
      <c r="B1728" t="s">
        <v>1260</v>
      </c>
      <c r="C1728" s="9" t="s">
        <v>1452</v>
      </c>
      <c r="D1728" t="s">
        <v>1264</v>
      </c>
      <c r="E1728" s="9" t="s">
        <v>1451</v>
      </c>
      <c r="F1728" t="s">
        <v>337</v>
      </c>
    </row>
    <row r="1729" spans="1:6" ht="29.1">
      <c r="A1729">
        <v>2026</v>
      </c>
      <c r="B1729" t="s">
        <v>1260</v>
      </c>
      <c r="C1729" s="9" t="s">
        <v>1453</v>
      </c>
      <c r="D1729" t="s">
        <v>1264</v>
      </c>
      <c r="E1729" s="9" t="s">
        <v>1454</v>
      </c>
      <c r="F1729" t="s">
        <v>337</v>
      </c>
    </row>
    <row r="1730" spans="1:6">
      <c r="A1730">
        <v>2026</v>
      </c>
      <c r="B1730" t="s">
        <v>1260</v>
      </c>
      <c r="C1730" s="7" t="s">
        <v>1455</v>
      </c>
      <c r="D1730" t="s">
        <v>1264</v>
      </c>
      <c r="E1730" s="7" t="s">
        <v>1456</v>
      </c>
      <c r="F1730" t="s">
        <v>337</v>
      </c>
    </row>
    <row r="1731" spans="1:6">
      <c r="A1731">
        <v>2026</v>
      </c>
      <c r="B1731" t="s">
        <v>1260</v>
      </c>
      <c r="C1731" s="7" t="s">
        <v>1457</v>
      </c>
      <c r="D1731" t="s">
        <v>1264</v>
      </c>
      <c r="E1731" s="7" t="s">
        <v>1458</v>
      </c>
      <c r="F1731" t="s">
        <v>337</v>
      </c>
    </row>
  </sheetData>
  <autoFilter ref="A1:F1" xr:uid="{745AAFB2-2746-41C0-B77F-28465ECDAE28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A5D8-DA75-4AB5-A971-0FDD91C9C2EF}">
  <dimension ref="A1:F95"/>
  <sheetViews>
    <sheetView topLeftCell="A77" workbookViewId="0">
      <selection activeCell="D101" sqref="D101"/>
    </sheetView>
  </sheetViews>
  <sheetFormatPr defaultColWidth="8.85546875" defaultRowHeight="15"/>
  <cols>
    <col min="1" max="1" width="13.28515625" bestFit="1" customWidth="1"/>
    <col min="2" max="2" width="15.42578125" bestFit="1" customWidth="1"/>
    <col min="3" max="3" width="21.140625" customWidth="1"/>
    <col min="4" max="4" width="12.140625" bestFit="1" customWidth="1"/>
    <col min="5" max="5" width="36.85546875" bestFit="1" customWidth="1"/>
  </cols>
  <sheetData>
    <row r="1" spans="1:6">
      <c r="A1" s="1" t="s">
        <v>11</v>
      </c>
      <c r="B1" s="1" t="s">
        <v>9</v>
      </c>
      <c r="C1" s="1" t="s">
        <v>12</v>
      </c>
      <c r="D1" s="1" t="s">
        <v>138</v>
      </c>
      <c r="E1" s="1" t="s">
        <v>139</v>
      </c>
      <c r="F1" s="1" t="s">
        <v>140</v>
      </c>
    </row>
    <row r="2" spans="1:6">
      <c r="A2" t="s">
        <v>1459</v>
      </c>
      <c r="B2" t="s">
        <v>1163</v>
      </c>
      <c r="C2" s="7" t="s">
        <v>1164</v>
      </c>
      <c r="D2" t="s">
        <v>144</v>
      </c>
      <c r="E2" s="7" t="s">
        <v>1165</v>
      </c>
      <c r="F2" t="s">
        <v>337</v>
      </c>
    </row>
    <row r="3" spans="1:6">
      <c r="A3" t="s">
        <v>1459</v>
      </c>
      <c r="B3" t="s">
        <v>1163</v>
      </c>
      <c r="C3" s="7" t="s">
        <v>1166</v>
      </c>
      <c r="D3" t="s">
        <v>144</v>
      </c>
      <c r="E3" s="7" t="s">
        <v>1165</v>
      </c>
      <c r="F3" t="s">
        <v>337</v>
      </c>
    </row>
    <row r="4" spans="1:6">
      <c r="A4" t="s">
        <v>1459</v>
      </c>
      <c r="B4" t="s">
        <v>1163</v>
      </c>
      <c r="C4" s="7" t="s">
        <v>1167</v>
      </c>
      <c r="D4" t="s">
        <v>144</v>
      </c>
      <c r="E4" s="7" t="s">
        <v>1165</v>
      </c>
      <c r="F4" t="s">
        <v>337</v>
      </c>
    </row>
    <row r="5" spans="1:6">
      <c r="A5" t="s">
        <v>1459</v>
      </c>
      <c r="B5" t="s">
        <v>1163</v>
      </c>
      <c r="C5" s="7" t="s">
        <v>1168</v>
      </c>
      <c r="D5" t="s">
        <v>144</v>
      </c>
      <c r="E5" s="7" t="s">
        <v>1165</v>
      </c>
      <c r="F5" t="s">
        <v>337</v>
      </c>
    </row>
    <row r="6" spans="1:6">
      <c r="A6" t="s">
        <v>1459</v>
      </c>
      <c r="B6" t="s">
        <v>1163</v>
      </c>
      <c r="C6" s="7" t="s">
        <v>1169</v>
      </c>
      <c r="D6" t="s">
        <v>144</v>
      </c>
      <c r="E6" s="7" t="s">
        <v>1165</v>
      </c>
      <c r="F6" t="s">
        <v>337</v>
      </c>
    </row>
    <row r="7" spans="1:6">
      <c r="A7" t="s">
        <v>1459</v>
      </c>
      <c r="B7" t="s">
        <v>1163</v>
      </c>
      <c r="C7" s="7" t="s">
        <v>1170</v>
      </c>
      <c r="D7" t="s">
        <v>144</v>
      </c>
      <c r="E7" s="7" t="s">
        <v>1171</v>
      </c>
      <c r="F7" t="s">
        <v>337</v>
      </c>
    </row>
    <row r="8" spans="1:6">
      <c r="A8" t="s">
        <v>1459</v>
      </c>
      <c r="B8" t="s">
        <v>1163</v>
      </c>
      <c r="C8" s="7" t="s">
        <v>1172</v>
      </c>
      <c r="D8" t="s">
        <v>144</v>
      </c>
      <c r="E8" s="7" t="s">
        <v>1171</v>
      </c>
      <c r="F8" t="s">
        <v>337</v>
      </c>
    </row>
    <row r="9" spans="1:6">
      <c r="A9" t="s">
        <v>1459</v>
      </c>
      <c r="B9" t="s">
        <v>1163</v>
      </c>
      <c r="C9" s="7" t="s">
        <v>1173</v>
      </c>
      <c r="D9" t="s">
        <v>144</v>
      </c>
      <c r="E9" s="7" t="s">
        <v>1171</v>
      </c>
      <c r="F9" t="s">
        <v>337</v>
      </c>
    </row>
    <row r="10" spans="1:6">
      <c r="A10" t="s">
        <v>1459</v>
      </c>
      <c r="B10" t="s">
        <v>1163</v>
      </c>
      <c r="C10" s="7" t="s">
        <v>1174</v>
      </c>
      <c r="D10" t="s">
        <v>144</v>
      </c>
      <c r="E10" s="7" t="s">
        <v>1171</v>
      </c>
      <c r="F10" t="s">
        <v>337</v>
      </c>
    </row>
    <row r="11" spans="1:6">
      <c r="A11" t="s">
        <v>1459</v>
      </c>
      <c r="B11" t="s">
        <v>1163</v>
      </c>
      <c r="C11" s="7" t="s">
        <v>1175</v>
      </c>
      <c r="D11" t="s">
        <v>144</v>
      </c>
      <c r="E11" s="7" t="s">
        <v>1171</v>
      </c>
      <c r="F11" t="s">
        <v>337</v>
      </c>
    </row>
    <row r="12" spans="1:6">
      <c r="A12" t="s">
        <v>1459</v>
      </c>
      <c r="B12" t="s">
        <v>1163</v>
      </c>
      <c r="C12" s="7" t="s">
        <v>1176</v>
      </c>
      <c r="D12" t="s">
        <v>144</v>
      </c>
      <c r="E12" s="7" t="s">
        <v>1177</v>
      </c>
      <c r="F12" t="s">
        <v>337</v>
      </c>
    </row>
    <row r="13" spans="1:6">
      <c r="A13" t="s">
        <v>1459</v>
      </c>
      <c r="B13" t="s">
        <v>1163</v>
      </c>
      <c r="C13" s="7" t="s">
        <v>898</v>
      </c>
      <c r="D13" t="s">
        <v>144</v>
      </c>
      <c r="E13" s="7" t="s">
        <v>1177</v>
      </c>
      <c r="F13" t="s">
        <v>337</v>
      </c>
    </row>
    <row r="14" spans="1:6">
      <c r="A14" t="s">
        <v>1459</v>
      </c>
      <c r="B14" t="s">
        <v>1163</v>
      </c>
      <c r="C14" s="7" t="s">
        <v>1178</v>
      </c>
      <c r="D14" t="s">
        <v>144</v>
      </c>
      <c r="E14" s="7" t="s">
        <v>1177</v>
      </c>
      <c r="F14" t="s">
        <v>337</v>
      </c>
    </row>
    <row r="15" spans="1:6">
      <c r="A15" t="s">
        <v>1459</v>
      </c>
      <c r="B15" t="s">
        <v>1163</v>
      </c>
      <c r="C15" s="7" t="s">
        <v>1179</v>
      </c>
      <c r="D15" t="s">
        <v>144</v>
      </c>
      <c r="E15" s="7" t="s">
        <v>1177</v>
      </c>
      <c r="F15" t="s">
        <v>337</v>
      </c>
    </row>
    <row r="16" spans="1:6">
      <c r="A16" t="s">
        <v>1459</v>
      </c>
      <c r="B16" t="s">
        <v>1163</v>
      </c>
      <c r="C16" s="7" t="s">
        <v>1180</v>
      </c>
      <c r="D16" t="s">
        <v>144</v>
      </c>
      <c r="E16" s="7" t="s">
        <v>1177</v>
      </c>
      <c r="F16" t="s">
        <v>337</v>
      </c>
    </row>
    <row r="17" spans="1:6">
      <c r="A17" t="s">
        <v>1459</v>
      </c>
      <c r="B17" t="s">
        <v>1163</v>
      </c>
      <c r="C17" s="7" t="s">
        <v>1181</v>
      </c>
      <c r="D17" t="s">
        <v>144</v>
      </c>
      <c r="E17" s="7" t="s">
        <v>1182</v>
      </c>
      <c r="F17" t="s">
        <v>337</v>
      </c>
    </row>
    <row r="18" spans="1:6">
      <c r="A18" t="s">
        <v>1459</v>
      </c>
      <c r="B18" t="s">
        <v>1163</v>
      </c>
      <c r="C18" s="7" t="s">
        <v>1183</v>
      </c>
      <c r="D18" t="s">
        <v>144</v>
      </c>
      <c r="E18" s="7" t="s">
        <v>1182</v>
      </c>
      <c r="F18" t="s">
        <v>337</v>
      </c>
    </row>
    <row r="19" spans="1:6">
      <c r="A19" t="s">
        <v>1459</v>
      </c>
      <c r="B19" t="s">
        <v>1163</v>
      </c>
      <c r="C19" s="7" t="s">
        <v>1184</v>
      </c>
      <c r="D19" t="s">
        <v>144</v>
      </c>
      <c r="E19" s="7" t="s">
        <v>1182</v>
      </c>
      <c r="F19" t="s">
        <v>337</v>
      </c>
    </row>
    <row r="20" spans="1:6">
      <c r="A20" t="s">
        <v>1459</v>
      </c>
      <c r="B20" t="s">
        <v>1163</v>
      </c>
      <c r="C20" s="7" t="s">
        <v>1185</v>
      </c>
      <c r="D20" t="s">
        <v>144</v>
      </c>
      <c r="E20" s="7" t="s">
        <v>1182</v>
      </c>
      <c r="F20" t="s">
        <v>337</v>
      </c>
    </row>
    <row r="21" spans="1:6">
      <c r="A21" t="s">
        <v>1459</v>
      </c>
      <c r="B21" t="s">
        <v>1163</v>
      </c>
      <c r="C21" s="7" t="s">
        <v>886</v>
      </c>
      <c r="D21" t="s">
        <v>144</v>
      </c>
      <c r="E21" s="7" t="s">
        <v>1182</v>
      </c>
      <c r="F21" t="s">
        <v>337</v>
      </c>
    </row>
    <row r="22" spans="1:6">
      <c r="A22" t="s">
        <v>1459</v>
      </c>
      <c r="B22" t="s">
        <v>1163</v>
      </c>
      <c r="C22" s="7" t="s">
        <v>742</v>
      </c>
      <c r="D22" t="s">
        <v>164</v>
      </c>
      <c r="E22" t="s">
        <v>1186</v>
      </c>
      <c r="F22" t="s">
        <v>337</v>
      </c>
    </row>
    <row r="23" spans="1:6">
      <c r="A23" t="s">
        <v>1459</v>
      </c>
      <c r="B23" t="s">
        <v>1163</v>
      </c>
      <c r="C23" s="7" t="s">
        <v>623</v>
      </c>
      <c r="D23" t="s">
        <v>164</v>
      </c>
      <c r="E23" t="s">
        <v>1187</v>
      </c>
      <c r="F23" t="s">
        <v>337</v>
      </c>
    </row>
    <row r="24" spans="1:6">
      <c r="A24" t="s">
        <v>1460</v>
      </c>
      <c r="B24" t="s">
        <v>1163</v>
      </c>
      <c r="C24" s="7" t="s">
        <v>1189</v>
      </c>
      <c r="D24" t="s">
        <v>144</v>
      </c>
      <c r="F24" t="s">
        <v>337</v>
      </c>
    </row>
    <row r="25" spans="1:6">
      <c r="A25" t="s">
        <v>1460</v>
      </c>
      <c r="B25" t="s">
        <v>1163</v>
      </c>
      <c r="C25" s="7" t="s">
        <v>1190</v>
      </c>
      <c r="D25" t="s">
        <v>144</v>
      </c>
      <c r="F25" t="s">
        <v>337</v>
      </c>
    </row>
    <row r="26" spans="1:6">
      <c r="A26" t="s">
        <v>1460</v>
      </c>
      <c r="B26" t="s">
        <v>1163</v>
      </c>
      <c r="C26" s="7" t="s">
        <v>1191</v>
      </c>
      <c r="D26" t="s">
        <v>144</v>
      </c>
      <c r="F26" t="s">
        <v>337</v>
      </c>
    </row>
    <row r="27" spans="1:6">
      <c r="A27" t="s">
        <v>1460</v>
      </c>
      <c r="B27" t="s">
        <v>1163</v>
      </c>
      <c r="C27" s="7" t="s">
        <v>1192</v>
      </c>
      <c r="D27" t="s">
        <v>144</v>
      </c>
      <c r="F27" t="s">
        <v>337</v>
      </c>
    </row>
    <row r="28" spans="1:6">
      <c r="A28" t="s">
        <v>1460</v>
      </c>
      <c r="B28" t="s">
        <v>1163</v>
      </c>
      <c r="C28" s="7" t="s">
        <v>1193</v>
      </c>
      <c r="D28" t="s">
        <v>144</v>
      </c>
      <c r="F28" t="s">
        <v>337</v>
      </c>
    </row>
    <row r="29" spans="1:6">
      <c r="A29" t="s">
        <v>1460</v>
      </c>
      <c r="B29" t="s">
        <v>1163</v>
      </c>
      <c r="C29" s="7" t="s">
        <v>1194</v>
      </c>
      <c r="D29" t="s">
        <v>144</v>
      </c>
      <c r="F29" t="s">
        <v>337</v>
      </c>
    </row>
    <row r="30" spans="1:6">
      <c r="A30" t="s">
        <v>1460</v>
      </c>
      <c r="B30" t="s">
        <v>1163</v>
      </c>
      <c r="C30" s="7" t="s">
        <v>1195</v>
      </c>
      <c r="D30" t="s">
        <v>144</v>
      </c>
      <c r="F30" t="s">
        <v>337</v>
      </c>
    </row>
    <row r="31" spans="1:6">
      <c r="A31" t="s">
        <v>1460</v>
      </c>
      <c r="B31" t="s">
        <v>1163</v>
      </c>
      <c r="C31" s="7" t="s">
        <v>1196</v>
      </c>
      <c r="D31" t="s">
        <v>144</v>
      </c>
      <c r="F31" t="s">
        <v>337</v>
      </c>
    </row>
    <row r="32" spans="1:6">
      <c r="A32" t="s">
        <v>1460</v>
      </c>
      <c r="B32" t="s">
        <v>1163</v>
      </c>
      <c r="C32" s="7" t="s">
        <v>980</v>
      </c>
      <c r="D32" t="s">
        <v>144</v>
      </c>
      <c r="F32" t="s">
        <v>337</v>
      </c>
    </row>
    <row r="33" spans="1:6">
      <c r="A33" t="s">
        <v>1460</v>
      </c>
      <c r="B33" t="s">
        <v>1163</v>
      </c>
      <c r="C33" s="7" t="s">
        <v>1197</v>
      </c>
      <c r="D33" t="s">
        <v>144</v>
      </c>
      <c r="F33" t="s">
        <v>337</v>
      </c>
    </row>
    <row r="34" spans="1:6">
      <c r="A34" t="s">
        <v>1460</v>
      </c>
      <c r="B34" t="s">
        <v>1163</v>
      </c>
      <c r="C34" s="7" t="s">
        <v>99</v>
      </c>
      <c r="D34" t="s">
        <v>144</v>
      </c>
      <c r="F34" t="s">
        <v>337</v>
      </c>
    </row>
    <row r="35" spans="1:6">
      <c r="A35" t="s">
        <v>1460</v>
      </c>
      <c r="B35" t="s">
        <v>1163</v>
      </c>
      <c r="C35" s="7" t="s">
        <v>1198</v>
      </c>
      <c r="D35" t="s">
        <v>144</v>
      </c>
      <c r="F35" t="s">
        <v>337</v>
      </c>
    </row>
    <row r="36" spans="1:6">
      <c r="A36" t="s">
        <v>1460</v>
      </c>
      <c r="B36" t="s">
        <v>1163</v>
      </c>
      <c r="C36" s="7" t="s">
        <v>1199</v>
      </c>
      <c r="D36" t="s">
        <v>144</v>
      </c>
      <c r="F36" t="s">
        <v>337</v>
      </c>
    </row>
    <row r="37" spans="1:6">
      <c r="A37" t="s">
        <v>1460</v>
      </c>
      <c r="B37" t="s">
        <v>1163</v>
      </c>
      <c r="C37" t="s">
        <v>886</v>
      </c>
      <c r="D37" t="s">
        <v>164</v>
      </c>
      <c r="F37" t="s">
        <v>337</v>
      </c>
    </row>
    <row r="38" spans="1:6">
      <c r="A38" t="s">
        <v>1460</v>
      </c>
      <c r="B38" t="s">
        <v>1163</v>
      </c>
      <c r="C38" t="s">
        <v>1181</v>
      </c>
      <c r="D38" t="s">
        <v>164</v>
      </c>
      <c r="F38" t="s">
        <v>337</v>
      </c>
    </row>
    <row r="39" spans="1:6">
      <c r="A39" t="s">
        <v>1461</v>
      </c>
      <c r="B39" t="s">
        <v>1163</v>
      </c>
      <c r="C39" s="7" t="s">
        <v>1201</v>
      </c>
      <c r="D39" t="s">
        <v>144</v>
      </c>
      <c r="E39" s="7" t="s">
        <v>1202</v>
      </c>
      <c r="F39" t="s">
        <v>337</v>
      </c>
    </row>
    <row r="40" spans="1:6">
      <c r="A40" t="s">
        <v>1461</v>
      </c>
      <c r="B40" t="s">
        <v>1163</v>
      </c>
      <c r="C40" s="7" t="s">
        <v>973</v>
      </c>
      <c r="D40" t="s">
        <v>144</v>
      </c>
      <c r="E40" s="7" t="s">
        <v>1202</v>
      </c>
      <c r="F40" t="s">
        <v>337</v>
      </c>
    </row>
    <row r="41" spans="1:6">
      <c r="A41" t="s">
        <v>1461</v>
      </c>
      <c r="B41" t="s">
        <v>1163</v>
      </c>
      <c r="C41" s="7" t="s">
        <v>1203</v>
      </c>
      <c r="D41" t="s">
        <v>144</v>
      </c>
      <c r="E41" s="7" t="s">
        <v>1202</v>
      </c>
      <c r="F41" t="s">
        <v>337</v>
      </c>
    </row>
    <row r="42" spans="1:6">
      <c r="A42" t="s">
        <v>1461</v>
      </c>
      <c r="B42" t="s">
        <v>1163</v>
      </c>
      <c r="C42" s="7" t="s">
        <v>952</v>
      </c>
      <c r="D42" t="s">
        <v>144</v>
      </c>
      <c r="E42" s="7" t="s">
        <v>1202</v>
      </c>
      <c r="F42" t="s">
        <v>337</v>
      </c>
    </row>
    <row r="43" spans="1:6">
      <c r="A43" t="s">
        <v>1461</v>
      </c>
      <c r="B43" t="s">
        <v>1163</v>
      </c>
      <c r="C43" s="7" t="s">
        <v>1204</v>
      </c>
      <c r="D43" t="s">
        <v>144</v>
      </c>
      <c r="E43" s="7" t="s">
        <v>1205</v>
      </c>
      <c r="F43" t="s">
        <v>337</v>
      </c>
    </row>
    <row r="44" spans="1:6">
      <c r="A44" t="s">
        <v>1461</v>
      </c>
      <c r="B44" t="s">
        <v>1163</v>
      </c>
      <c r="C44" s="7" t="s">
        <v>1206</v>
      </c>
      <c r="D44" t="s">
        <v>144</v>
      </c>
      <c r="E44" s="7" t="s">
        <v>1205</v>
      </c>
      <c r="F44" t="s">
        <v>337</v>
      </c>
    </row>
    <row r="45" spans="1:6">
      <c r="A45" t="s">
        <v>1461</v>
      </c>
      <c r="B45" t="s">
        <v>1163</v>
      </c>
      <c r="C45" s="7" t="s">
        <v>1207</v>
      </c>
      <c r="D45" t="s">
        <v>144</v>
      </c>
      <c r="E45" s="7" t="s">
        <v>1205</v>
      </c>
      <c r="F45" t="s">
        <v>337</v>
      </c>
    </row>
    <row r="46" spans="1:6">
      <c r="A46" t="s">
        <v>1461</v>
      </c>
      <c r="B46" t="s">
        <v>1163</v>
      </c>
      <c r="C46" s="7" t="s">
        <v>1208</v>
      </c>
      <c r="D46" t="s">
        <v>144</v>
      </c>
      <c r="E46" s="7" t="s">
        <v>1205</v>
      </c>
      <c r="F46" t="s">
        <v>337</v>
      </c>
    </row>
    <row r="47" spans="1:6">
      <c r="A47" t="s">
        <v>1461</v>
      </c>
      <c r="B47" t="s">
        <v>1163</v>
      </c>
      <c r="C47" s="7" t="s">
        <v>1209</v>
      </c>
      <c r="D47" t="s">
        <v>144</v>
      </c>
      <c r="E47" s="7" t="s">
        <v>1210</v>
      </c>
      <c r="F47" t="s">
        <v>337</v>
      </c>
    </row>
    <row r="48" spans="1:6">
      <c r="A48" t="s">
        <v>1461</v>
      </c>
      <c r="B48" t="s">
        <v>1163</v>
      </c>
      <c r="C48" s="7" t="s">
        <v>1211</v>
      </c>
      <c r="D48" t="s">
        <v>144</v>
      </c>
      <c r="E48" s="7" t="s">
        <v>1210</v>
      </c>
      <c r="F48" t="s">
        <v>337</v>
      </c>
    </row>
    <row r="49" spans="1:6">
      <c r="A49" t="s">
        <v>1461</v>
      </c>
      <c r="B49" t="s">
        <v>1163</v>
      </c>
      <c r="C49" s="7" t="s">
        <v>1212</v>
      </c>
      <c r="D49" t="s">
        <v>144</v>
      </c>
      <c r="E49" s="7" t="s">
        <v>1210</v>
      </c>
      <c r="F49" t="s">
        <v>337</v>
      </c>
    </row>
    <row r="50" spans="1:6">
      <c r="A50" t="s">
        <v>1461</v>
      </c>
      <c r="B50" t="s">
        <v>1163</v>
      </c>
      <c r="C50" s="7" t="s">
        <v>1213</v>
      </c>
      <c r="D50" t="s">
        <v>144</v>
      </c>
      <c r="E50" s="7" t="s">
        <v>1210</v>
      </c>
      <c r="F50" t="s">
        <v>337</v>
      </c>
    </row>
    <row r="51" spans="1:6">
      <c r="A51" t="s">
        <v>1461</v>
      </c>
      <c r="B51" t="s">
        <v>1163</v>
      </c>
      <c r="C51" s="7" t="s">
        <v>1214</v>
      </c>
      <c r="D51" t="s">
        <v>144</v>
      </c>
      <c r="E51" s="7" t="s">
        <v>1210</v>
      </c>
      <c r="F51" t="s">
        <v>337</v>
      </c>
    </row>
    <row r="52" spans="1:6">
      <c r="A52" t="s">
        <v>1461</v>
      </c>
      <c r="B52" t="s">
        <v>1163</v>
      </c>
      <c r="C52" t="s">
        <v>1199</v>
      </c>
      <c r="D52" t="s">
        <v>164</v>
      </c>
      <c r="E52" t="s">
        <v>1202</v>
      </c>
      <c r="F52" t="s">
        <v>337</v>
      </c>
    </row>
    <row r="53" spans="1:6">
      <c r="A53" t="s">
        <v>1461</v>
      </c>
      <c r="B53" t="s">
        <v>1163</v>
      </c>
      <c r="C53" t="s">
        <v>1185</v>
      </c>
      <c r="D53" t="s">
        <v>164</v>
      </c>
      <c r="E53" t="s">
        <v>1205</v>
      </c>
      <c r="F53" t="s">
        <v>337</v>
      </c>
    </row>
    <row r="54" spans="1:6">
      <c r="A54" t="s">
        <v>1461</v>
      </c>
      <c r="B54" t="s">
        <v>1163</v>
      </c>
      <c r="C54" t="s">
        <v>980</v>
      </c>
      <c r="D54" t="s">
        <v>164</v>
      </c>
      <c r="E54" t="s">
        <v>1210</v>
      </c>
      <c r="F54" t="s">
        <v>337</v>
      </c>
    </row>
    <row r="55" spans="1:6">
      <c r="A55" t="s">
        <v>1462</v>
      </c>
      <c r="B55" t="s">
        <v>1163</v>
      </c>
      <c r="C55" s="7" t="s">
        <v>1216</v>
      </c>
      <c r="D55" t="s">
        <v>144</v>
      </c>
      <c r="E55" s="7" t="s">
        <v>1217</v>
      </c>
      <c r="F55" t="s">
        <v>337</v>
      </c>
    </row>
    <row r="56" spans="1:6">
      <c r="A56" t="s">
        <v>1462</v>
      </c>
      <c r="B56" t="s">
        <v>1163</v>
      </c>
      <c r="C56" s="7" t="s">
        <v>1035</v>
      </c>
      <c r="D56" t="s">
        <v>144</v>
      </c>
      <c r="E56" s="7" t="s">
        <v>1217</v>
      </c>
      <c r="F56" t="s">
        <v>337</v>
      </c>
    </row>
    <row r="57" spans="1:6">
      <c r="A57" t="s">
        <v>1462</v>
      </c>
      <c r="B57" t="s">
        <v>1163</v>
      </c>
      <c r="C57" s="7" t="s">
        <v>1218</v>
      </c>
      <c r="D57" t="s">
        <v>144</v>
      </c>
      <c r="E57" s="7" t="s">
        <v>1217</v>
      </c>
      <c r="F57" t="s">
        <v>337</v>
      </c>
    </row>
    <row r="58" spans="1:6">
      <c r="A58" t="s">
        <v>1462</v>
      </c>
      <c r="B58" t="s">
        <v>1163</v>
      </c>
      <c r="C58" s="7" t="s">
        <v>1219</v>
      </c>
      <c r="D58" t="s">
        <v>144</v>
      </c>
      <c r="E58" s="7" t="s">
        <v>1217</v>
      </c>
      <c r="F58" t="s">
        <v>337</v>
      </c>
    </row>
    <row r="59" spans="1:6">
      <c r="A59" t="s">
        <v>1462</v>
      </c>
      <c r="B59" t="s">
        <v>1163</v>
      </c>
      <c r="C59" s="7" t="s">
        <v>1220</v>
      </c>
      <c r="D59" t="s">
        <v>144</v>
      </c>
      <c r="E59" s="7" t="s">
        <v>1221</v>
      </c>
      <c r="F59" t="s">
        <v>337</v>
      </c>
    </row>
    <row r="60" spans="1:6">
      <c r="A60" t="s">
        <v>1462</v>
      </c>
      <c r="B60" t="s">
        <v>1163</v>
      </c>
      <c r="C60" s="7" t="s">
        <v>134</v>
      </c>
      <c r="D60" t="s">
        <v>144</v>
      </c>
      <c r="E60" s="7" t="s">
        <v>1221</v>
      </c>
      <c r="F60" t="s">
        <v>337</v>
      </c>
    </row>
    <row r="61" spans="1:6">
      <c r="A61" t="s">
        <v>1462</v>
      </c>
      <c r="B61" t="s">
        <v>1163</v>
      </c>
      <c r="C61" s="7" t="s">
        <v>1222</v>
      </c>
      <c r="D61" t="s">
        <v>144</v>
      </c>
      <c r="E61" s="7" t="s">
        <v>1221</v>
      </c>
      <c r="F61" t="s">
        <v>337</v>
      </c>
    </row>
    <row r="62" spans="1:6">
      <c r="A62" t="s">
        <v>1462</v>
      </c>
      <c r="B62" t="s">
        <v>1163</v>
      </c>
      <c r="C62" s="7" t="s">
        <v>1223</v>
      </c>
      <c r="D62" t="s">
        <v>144</v>
      </c>
      <c r="E62" s="7" t="s">
        <v>1221</v>
      </c>
      <c r="F62" t="s">
        <v>337</v>
      </c>
    </row>
    <row r="63" spans="1:6">
      <c r="A63" t="s">
        <v>1462</v>
      </c>
      <c r="B63" t="s">
        <v>1163</v>
      </c>
      <c r="C63" s="7" t="s">
        <v>136</v>
      </c>
      <c r="D63" t="s">
        <v>144</v>
      </c>
      <c r="E63" s="7" t="s">
        <v>1224</v>
      </c>
      <c r="F63" t="s">
        <v>337</v>
      </c>
    </row>
    <row r="64" spans="1:6">
      <c r="A64" t="s">
        <v>1462</v>
      </c>
      <c r="B64" t="s">
        <v>1163</v>
      </c>
      <c r="C64" s="7" t="s">
        <v>1225</v>
      </c>
      <c r="D64" t="s">
        <v>144</v>
      </c>
      <c r="E64" s="7" t="s">
        <v>1224</v>
      </c>
      <c r="F64" t="s">
        <v>337</v>
      </c>
    </row>
    <row r="65" spans="1:6">
      <c r="A65" t="s">
        <v>1462</v>
      </c>
      <c r="B65" t="s">
        <v>1163</v>
      </c>
      <c r="C65" s="7" t="s">
        <v>1226</v>
      </c>
      <c r="D65" t="s">
        <v>144</v>
      </c>
      <c r="E65" s="7" t="s">
        <v>1224</v>
      </c>
      <c r="F65" t="s">
        <v>337</v>
      </c>
    </row>
    <row r="66" spans="1:6">
      <c r="A66" t="s">
        <v>1462</v>
      </c>
      <c r="B66" t="s">
        <v>1163</v>
      </c>
      <c r="C66" t="s">
        <v>1207</v>
      </c>
      <c r="D66" t="s">
        <v>164</v>
      </c>
      <c r="E66" t="s">
        <v>1217</v>
      </c>
      <c r="F66" t="s">
        <v>337</v>
      </c>
    </row>
    <row r="67" spans="1:6">
      <c r="A67" t="s">
        <v>1462</v>
      </c>
      <c r="B67" t="s">
        <v>1163</v>
      </c>
      <c r="C67" t="s">
        <v>1227</v>
      </c>
      <c r="D67" t="s">
        <v>164</v>
      </c>
      <c r="E67" t="s">
        <v>1221</v>
      </c>
      <c r="F67" t="s">
        <v>337</v>
      </c>
    </row>
    <row r="68" spans="1:6">
      <c r="A68" t="s">
        <v>1462</v>
      </c>
      <c r="B68" t="s">
        <v>1163</v>
      </c>
      <c r="C68" t="s">
        <v>952</v>
      </c>
      <c r="D68" t="s">
        <v>164</v>
      </c>
      <c r="E68" t="s">
        <v>1224</v>
      </c>
      <c r="F68" t="s">
        <v>337</v>
      </c>
    </row>
    <row r="69" spans="1:6">
      <c r="A69" t="s">
        <v>1463</v>
      </c>
      <c r="B69" t="s">
        <v>1163</v>
      </c>
      <c r="C69" s="8" t="s">
        <v>1229</v>
      </c>
      <c r="D69" t="s">
        <v>144</v>
      </c>
      <c r="E69" s="8" t="s">
        <v>1230</v>
      </c>
      <c r="F69" t="s">
        <v>337</v>
      </c>
    </row>
    <row r="70" spans="1:6">
      <c r="A70" t="s">
        <v>1463</v>
      </c>
      <c r="B70" t="s">
        <v>1163</v>
      </c>
      <c r="C70" s="8" t="s">
        <v>1231</v>
      </c>
      <c r="D70" t="s">
        <v>144</v>
      </c>
      <c r="E70" s="7" t="s">
        <v>1230</v>
      </c>
      <c r="F70" t="s">
        <v>337</v>
      </c>
    </row>
    <row r="71" spans="1:6">
      <c r="A71" t="s">
        <v>1463</v>
      </c>
      <c r="B71" t="s">
        <v>1163</v>
      </c>
      <c r="C71" s="8" t="s">
        <v>1232</v>
      </c>
      <c r="D71" t="s">
        <v>144</v>
      </c>
      <c r="E71" s="7" t="s">
        <v>1230</v>
      </c>
      <c r="F71" t="s">
        <v>337</v>
      </c>
    </row>
    <row r="72" spans="1:6">
      <c r="A72" t="s">
        <v>1463</v>
      </c>
      <c r="B72" t="s">
        <v>1163</v>
      </c>
      <c r="C72" s="8" t="s">
        <v>1233</v>
      </c>
      <c r="D72" t="s">
        <v>144</v>
      </c>
      <c r="E72" s="7" t="s">
        <v>1234</v>
      </c>
      <c r="F72" t="s">
        <v>337</v>
      </c>
    </row>
    <row r="73" spans="1:6">
      <c r="A73" t="s">
        <v>1463</v>
      </c>
      <c r="B73" t="s">
        <v>1163</v>
      </c>
      <c r="C73" s="8" t="s">
        <v>1235</v>
      </c>
      <c r="D73" t="s">
        <v>144</v>
      </c>
      <c r="E73" s="8" t="s">
        <v>1234</v>
      </c>
      <c r="F73" t="s">
        <v>337</v>
      </c>
    </row>
    <row r="74" spans="1:6">
      <c r="A74" t="s">
        <v>1463</v>
      </c>
      <c r="B74" t="s">
        <v>1163</v>
      </c>
      <c r="C74" s="8" t="s">
        <v>1052</v>
      </c>
      <c r="D74" t="s">
        <v>144</v>
      </c>
      <c r="E74" s="8" t="s">
        <v>1234</v>
      </c>
      <c r="F74" t="s">
        <v>337</v>
      </c>
    </row>
    <row r="75" spans="1:6">
      <c r="A75" t="s">
        <v>1463</v>
      </c>
      <c r="B75" t="s">
        <v>1163</v>
      </c>
      <c r="C75" s="8" t="s">
        <v>1236</v>
      </c>
      <c r="D75" t="s">
        <v>144</v>
      </c>
      <c r="E75" s="7" t="s">
        <v>1237</v>
      </c>
      <c r="F75" t="s">
        <v>337</v>
      </c>
    </row>
    <row r="76" spans="1:6">
      <c r="A76" t="s">
        <v>1463</v>
      </c>
      <c r="B76" t="s">
        <v>1163</v>
      </c>
      <c r="C76" s="8" t="s">
        <v>1238</v>
      </c>
      <c r="D76" t="s">
        <v>144</v>
      </c>
      <c r="E76" s="7" t="s">
        <v>1237</v>
      </c>
      <c r="F76" t="s">
        <v>337</v>
      </c>
    </row>
    <row r="77" spans="1:6">
      <c r="A77" t="s">
        <v>1463</v>
      </c>
      <c r="B77" t="s">
        <v>1163</v>
      </c>
      <c r="C77" s="8" t="s">
        <v>1239</v>
      </c>
      <c r="D77" t="s">
        <v>144</v>
      </c>
      <c r="E77" s="7" t="s">
        <v>1237</v>
      </c>
      <c r="F77" t="s">
        <v>337</v>
      </c>
    </row>
    <row r="78" spans="1:6">
      <c r="A78" t="s">
        <v>1463</v>
      </c>
      <c r="B78" t="s">
        <v>1163</v>
      </c>
      <c r="C78" s="8" t="s">
        <v>1240</v>
      </c>
      <c r="D78" t="s">
        <v>144</v>
      </c>
      <c r="E78" s="8" t="s">
        <v>1237</v>
      </c>
      <c r="F78" t="s">
        <v>337</v>
      </c>
    </row>
    <row r="79" spans="1:6">
      <c r="A79" t="s">
        <v>1463</v>
      </c>
      <c r="B79" t="s">
        <v>1163</v>
      </c>
      <c r="C79" t="s">
        <v>1207</v>
      </c>
      <c r="D79" t="s">
        <v>164</v>
      </c>
      <c r="E79" t="s">
        <v>1230</v>
      </c>
      <c r="F79" t="s">
        <v>337</v>
      </c>
    </row>
    <row r="80" spans="1:6">
      <c r="A80" t="s">
        <v>1463</v>
      </c>
      <c r="B80" t="s">
        <v>1163</v>
      </c>
      <c r="C80" t="s">
        <v>1220</v>
      </c>
      <c r="D80" t="s">
        <v>164</v>
      </c>
      <c r="E80" t="s">
        <v>1234</v>
      </c>
      <c r="F80" t="s">
        <v>337</v>
      </c>
    </row>
    <row r="81" spans="1:6">
      <c r="A81" t="s">
        <v>1463</v>
      </c>
      <c r="B81" t="s">
        <v>1163</v>
      </c>
      <c r="C81" t="s">
        <v>1225</v>
      </c>
      <c r="D81" t="s">
        <v>164</v>
      </c>
      <c r="E81" t="s">
        <v>1237</v>
      </c>
      <c r="F81" t="s">
        <v>337</v>
      </c>
    </row>
    <row r="82" spans="1:6">
      <c r="A82" t="s">
        <v>1464</v>
      </c>
      <c r="B82" t="s">
        <v>1163</v>
      </c>
      <c r="C82" s="7" t="s">
        <v>1242</v>
      </c>
      <c r="D82" t="s">
        <v>144</v>
      </c>
      <c r="E82" s="7" t="s">
        <v>1243</v>
      </c>
      <c r="F82" t="s">
        <v>337</v>
      </c>
    </row>
    <row r="83" spans="1:6">
      <c r="A83" t="s">
        <v>1464</v>
      </c>
      <c r="B83" t="s">
        <v>1163</v>
      </c>
      <c r="C83" s="7" t="s">
        <v>1244</v>
      </c>
      <c r="D83" t="s">
        <v>144</v>
      </c>
      <c r="E83" s="7" t="s">
        <v>1243</v>
      </c>
      <c r="F83" t="s">
        <v>337</v>
      </c>
    </row>
    <row r="84" spans="1:6">
      <c r="A84" t="s">
        <v>1464</v>
      </c>
      <c r="B84" t="s">
        <v>1163</v>
      </c>
      <c r="C84" s="7" t="s">
        <v>1135</v>
      </c>
      <c r="D84" t="s">
        <v>144</v>
      </c>
      <c r="E84" s="7" t="s">
        <v>1243</v>
      </c>
      <c r="F84" t="s">
        <v>337</v>
      </c>
    </row>
    <row r="85" spans="1:6">
      <c r="A85" t="s">
        <v>1464</v>
      </c>
      <c r="B85" t="s">
        <v>1163</v>
      </c>
      <c r="C85" s="7" t="s">
        <v>1245</v>
      </c>
      <c r="D85" t="s">
        <v>144</v>
      </c>
      <c r="E85" s="7" t="s">
        <v>1243</v>
      </c>
      <c r="F85" t="s">
        <v>337</v>
      </c>
    </row>
    <row r="86" spans="1:6">
      <c r="A86" t="s">
        <v>1464</v>
      </c>
      <c r="B86" t="s">
        <v>1163</v>
      </c>
      <c r="C86" s="7" t="s">
        <v>1246</v>
      </c>
      <c r="D86" t="s">
        <v>144</v>
      </c>
      <c r="E86" s="7" t="s">
        <v>1247</v>
      </c>
      <c r="F86" t="s">
        <v>337</v>
      </c>
    </row>
    <row r="87" spans="1:6">
      <c r="A87" t="s">
        <v>1464</v>
      </c>
      <c r="B87" t="s">
        <v>1163</v>
      </c>
      <c r="C87" s="7" t="s">
        <v>1248</v>
      </c>
      <c r="D87" t="s">
        <v>144</v>
      </c>
      <c r="E87" s="7" t="s">
        <v>1247</v>
      </c>
      <c r="F87" t="s">
        <v>337</v>
      </c>
    </row>
    <row r="88" spans="1:6">
      <c r="A88" t="s">
        <v>1464</v>
      </c>
      <c r="B88" t="s">
        <v>1163</v>
      </c>
      <c r="C88" s="7" t="s">
        <v>1249</v>
      </c>
      <c r="D88" t="s">
        <v>144</v>
      </c>
      <c r="E88" s="7" t="s">
        <v>1247</v>
      </c>
      <c r="F88" t="s">
        <v>337</v>
      </c>
    </row>
    <row r="89" spans="1:6">
      <c r="A89" t="s">
        <v>1464</v>
      </c>
      <c r="B89" t="s">
        <v>1163</v>
      </c>
      <c r="C89" s="7" t="s">
        <v>1250</v>
      </c>
      <c r="D89" t="s">
        <v>144</v>
      </c>
      <c r="E89" s="7" t="s">
        <v>1247</v>
      </c>
      <c r="F89" t="s">
        <v>337</v>
      </c>
    </row>
    <row r="90" spans="1:6">
      <c r="A90" t="s">
        <v>1464</v>
      </c>
      <c r="B90" t="s">
        <v>1163</v>
      </c>
      <c r="C90" s="7" t="s">
        <v>1251</v>
      </c>
      <c r="D90" t="s">
        <v>144</v>
      </c>
      <c r="E90" s="7" t="s">
        <v>1252</v>
      </c>
      <c r="F90" t="s">
        <v>337</v>
      </c>
    </row>
    <row r="91" spans="1:6">
      <c r="A91" t="s">
        <v>1464</v>
      </c>
      <c r="B91" t="s">
        <v>1163</v>
      </c>
      <c r="C91" s="7" t="s">
        <v>1253</v>
      </c>
      <c r="D91" t="s">
        <v>144</v>
      </c>
      <c r="E91" s="7" t="s">
        <v>1252</v>
      </c>
      <c r="F91" t="s">
        <v>337</v>
      </c>
    </row>
    <row r="92" spans="1:6">
      <c r="A92" t="s">
        <v>1464</v>
      </c>
      <c r="B92" t="s">
        <v>1163</v>
      </c>
      <c r="C92" s="7" t="s">
        <v>1254</v>
      </c>
      <c r="D92" t="s">
        <v>144</v>
      </c>
      <c r="E92" s="7" t="s">
        <v>1252</v>
      </c>
      <c r="F92" t="s">
        <v>337</v>
      </c>
    </row>
    <row r="93" spans="1:6">
      <c r="A93" t="s">
        <v>1464</v>
      </c>
      <c r="B93" t="s">
        <v>1163</v>
      </c>
      <c r="C93" t="s">
        <v>1235</v>
      </c>
      <c r="D93" t="s">
        <v>164</v>
      </c>
      <c r="E93" t="s">
        <v>1243</v>
      </c>
      <c r="F93" t="s">
        <v>337</v>
      </c>
    </row>
    <row r="94" spans="1:6">
      <c r="A94" t="s">
        <v>1464</v>
      </c>
      <c r="B94" t="s">
        <v>1163</v>
      </c>
      <c r="C94" t="s">
        <v>1225</v>
      </c>
      <c r="D94" t="s">
        <v>164</v>
      </c>
      <c r="E94" t="s">
        <v>1247</v>
      </c>
      <c r="F94" t="s">
        <v>337</v>
      </c>
    </row>
    <row r="95" spans="1:6">
      <c r="A95" t="s">
        <v>1464</v>
      </c>
      <c r="B95" t="s">
        <v>1163</v>
      </c>
      <c r="C95" t="s">
        <v>1059</v>
      </c>
      <c r="D95" t="s">
        <v>164</v>
      </c>
      <c r="E95" t="s">
        <v>1252</v>
      </c>
      <c r="F95" t="s">
        <v>337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BB85-CCDF-4C00-97D0-50618C7841FD}">
  <dimension ref="A1:F175"/>
  <sheetViews>
    <sheetView workbookViewId="0">
      <selection activeCell="A2" sqref="A2"/>
    </sheetView>
  </sheetViews>
  <sheetFormatPr defaultColWidth="8.85546875" defaultRowHeight="15"/>
  <cols>
    <col min="1" max="1" width="10.42578125" bestFit="1" customWidth="1"/>
    <col min="3" max="3" width="20.42578125" bestFit="1" customWidth="1"/>
    <col min="4" max="4" width="16" bestFit="1" customWidth="1"/>
    <col min="5" max="5" width="37.42578125" bestFit="1" customWidth="1"/>
  </cols>
  <sheetData>
    <row r="1" spans="1:6">
      <c r="A1" s="1" t="s">
        <v>11</v>
      </c>
      <c r="B1" s="1" t="s">
        <v>9</v>
      </c>
      <c r="C1" s="1" t="s">
        <v>12</v>
      </c>
      <c r="D1" s="1" t="s">
        <v>138</v>
      </c>
      <c r="E1" s="1" t="s">
        <v>139</v>
      </c>
      <c r="F1" s="1" t="s">
        <v>140</v>
      </c>
    </row>
    <row r="2" spans="1:6">
      <c r="A2" t="s">
        <v>1259</v>
      </c>
      <c r="B2" t="s">
        <v>1260</v>
      </c>
      <c r="C2" t="s">
        <v>237</v>
      </c>
      <c r="D2" t="s">
        <v>1261</v>
      </c>
      <c r="E2" t="s">
        <v>1262</v>
      </c>
      <c r="F2" t="s">
        <v>337</v>
      </c>
    </row>
    <row r="3" spans="1:6">
      <c r="A3" t="s">
        <v>1259</v>
      </c>
      <c r="B3" t="s">
        <v>1260</v>
      </c>
      <c r="C3" s="7" t="s">
        <v>1263</v>
      </c>
      <c r="D3" t="s">
        <v>1264</v>
      </c>
      <c r="E3" s="7" t="s">
        <v>1262</v>
      </c>
      <c r="F3" t="s">
        <v>337</v>
      </c>
    </row>
    <row r="4" spans="1:6">
      <c r="A4" t="s">
        <v>1259</v>
      </c>
      <c r="B4" t="s">
        <v>1260</v>
      </c>
      <c r="C4" s="7" t="s">
        <v>559</v>
      </c>
      <c r="D4" t="s">
        <v>1264</v>
      </c>
      <c r="E4" s="7" t="s">
        <v>1262</v>
      </c>
      <c r="F4" t="s">
        <v>337</v>
      </c>
    </row>
    <row r="5" spans="1:6">
      <c r="A5" t="s">
        <v>1259</v>
      </c>
      <c r="B5" t="s">
        <v>1260</v>
      </c>
      <c r="C5" s="7" t="s">
        <v>1265</v>
      </c>
      <c r="D5" t="s">
        <v>1264</v>
      </c>
      <c r="E5" s="7" t="s">
        <v>1262</v>
      </c>
      <c r="F5" t="s">
        <v>337</v>
      </c>
    </row>
    <row r="6" spans="1:6">
      <c r="A6" t="s">
        <v>1259</v>
      </c>
      <c r="B6" t="s">
        <v>1260</v>
      </c>
      <c r="C6" s="7" t="s">
        <v>1266</v>
      </c>
      <c r="D6" t="s">
        <v>1264</v>
      </c>
      <c r="E6" s="7" t="s">
        <v>1262</v>
      </c>
      <c r="F6" t="s">
        <v>337</v>
      </c>
    </row>
    <row r="7" spans="1:6">
      <c r="A7" t="s">
        <v>1259</v>
      </c>
      <c r="B7" t="s">
        <v>1260</v>
      </c>
      <c r="C7" s="7" t="s">
        <v>1267</v>
      </c>
      <c r="D7" t="s">
        <v>1264</v>
      </c>
      <c r="E7" s="7" t="s">
        <v>1262</v>
      </c>
      <c r="F7" t="s">
        <v>337</v>
      </c>
    </row>
    <row r="8" spans="1:6">
      <c r="A8" t="s">
        <v>1259</v>
      </c>
      <c r="B8" t="s">
        <v>1260</v>
      </c>
      <c r="C8" t="s">
        <v>1268</v>
      </c>
      <c r="D8" t="s">
        <v>1261</v>
      </c>
      <c r="E8" t="s">
        <v>1269</v>
      </c>
      <c r="F8" t="s">
        <v>337</v>
      </c>
    </row>
    <row r="9" spans="1:6">
      <c r="A9" t="s">
        <v>1259</v>
      </c>
      <c r="B9" t="s">
        <v>1260</v>
      </c>
      <c r="C9" s="7" t="s">
        <v>1270</v>
      </c>
      <c r="D9" t="s">
        <v>1264</v>
      </c>
      <c r="E9" s="7" t="s">
        <v>1269</v>
      </c>
      <c r="F9" t="s">
        <v>337</v>
      </c>
    </row>
    <row r="10" spans="1:6">
      <c r="A10" t="s">
        <v>1259</v>
      </c>
      <c r="B10" t="s">
        <v>1260</v>
      </c>
      <c r="C10" s="7" t="s">
        <v>1271</v>
      </c>
      <c r="D10" t="s">
        <v>1264</v>
      </c>
      <c r="E10" s="7" t="s">
        <v>1272</v>
      </c>
      <c r="F10" t="s">
        <v>337</v>
      </c>
    </row>
    <row r="11" spans="1:6">
      <c r="A11" t="s">
        <v>1259</v>
      </c>
      <c r="B11" t="s">
        <v>1260</v>
      </c>
      <c r="C11" s="7" t="s">
        <v>1273</v>
      </c>
      <c r="D11" t="s">
        <v>1264</v>
      </c>
      <c r="E11" s="7" t="s">
        <v>1272</v>
      </c>
      <c r="F11" t="s">
        <v>337</v>
      </c>
    </row>
    <row r="12" spans="1:6">
      <c r="A12" t="s">
        <v>1259</v>
      </c>
      <c r="B12" t="s">
        <v>1260</v>
      </c>
      <c r="C12" s="7" t="s">
        <v>1274</v>
      </c>
      <c r="D12" t="s">
        <v>1264</v>
      </c>
      <c r="E12" s="7" t="s">
        <v>1272</v>
      </c>
      <c r="F12" t="s">
        <v>337</v>
      </c>
    </row>
    <row r="13" spans="1:6">
      <c r="A13" t="s">
        <v>1259</v>
      </c>
      <c r="B13" t="s">
        <v>1260</v>
      </c>
      <c r="C13" s="7" t="s">
        <v>1275</v>
      </c>
      <c r="D13" t="s">
        <v>1264</v>
      </c>
      <c r="E13" s="7" t="s">
        <v>1272</v>
      </c>
      <c r="F13" t="s">
        <v>337</v>
      </c>
    </row>
    <row r="14" spans="1:6">
      <c r="A14" t="s">
        <v>1276</v>
      </c>
      <c r="B14" t="s">
        <v>1260</v>
      </c>
      <c r="C14" t="s">
        <v>1263</v>
      </c>
      <c r="D14" t="s">
        <v>164</v>
      </c>
      <c r="E14" t="s">
        <v>1277</v>
      </c>
      <c r="F14" t="s">
        <v>337</v>
      </c>
    </row>
    <row r="15" spans="1:6">
      <c r="A15" t="s">
        <v>1276</v>
      </c>
      <c r="B15" t="s">
        <v>1260</v>
      </c>
      <c r="C15" s="7" t="s">
        <v>1278</v>
      </c>
      <c r="D15" t="s">
        <v>1264</v>
      </c>
      <c r="E15" s="7" t="s">
        <v>1277</v>
      </c>
      <c r="F15" t="s">
        <v>337</v>
      </c>
    </row>
    <row r="16" spans="1:6">
      <c r="A16" t="s">
        <v>1276</v>
      </c>
      <c r="B16" t="s">
        <v>1260</v>
      </c>
      <c r="C16" s="7" t="s">
        <v>1279</v>
      </c>
      <c r="D16" t="s">
        <v>1264</v>
      </c>
      <c r="E16" s="7" t="s">
        <v>1277</v>
      </c>
      <c r="F16" t="s">
        <v>337</v>
      </c>
    </row>
    <row r="17" spans="1:6">
      <c r="A17" t="s">
        <v>1276</v>
      </c>
      <c r="B17" t="s">
        <v>1260</v>
      </c>
      <c r="C17" s="7" t="s">
        <v>1280</v>
      </c>
      <c r="D17" t="s">
        <v>1264</v>
      </c>
      <c r="E17" s="7" t="s">
        <v>1277</v>
      </c>
      <c r="F17" t="s">
        <v>337</v>
      </c>
    </row>
    <row r="18" spans="1:6">
      <c r="A18" t="s">
        <v>1276</v>
      </c>
      <c r="B18" t="s">
        <v>1260</v>
      </c>
      <c r="C18" s="7" t="s">
        <v>1281</v>
      </c>
      <c r="D18" t="s">
        <v>1264</v>
      </c>
      <c r="E18" s="7" t="s">
        <v>1277</v>
      </c>
      <c r="F18" t="s">
        <v>337</v>
      </c>
    </row>
    <row r="19" spans="1:6">
      <c r="A19" t="s">
        <v>1276</v>
      </c>
      <c r="B19" t="s">
        <v>1260</v>
      </c>
      <c r="C19" t="s">
        <v>1282</v>
      </c>
      <c r="D19" t="s">
        <v>1261</v>
      </c>
      <c r="E19" t="s">
        <v>1283</v>
      </c>
      <c r="F19" t="s">
        <v>337</v>
      </c>
    </row>
    <row r="20" spans="1:6">
      <c r="A20" t="s">
        <v>1276</v>
      </c>
      <c r="B20" t="s">
        <v>1260</v>
      </c>
      <c r="C20" s="7" t="s">
        <v>1284</v>
      </c>
      <c r="D20" t="s">
        <v>1264</v>
      </c>
      <c r="E20" s="7" t="s">
        <v>1283</v>
      </c>
      <c r="F20" t="s">
        <v>337</v>
      </c>
    </row>
    <row r="21" spans="1:6">
      <c r="A21" t="s">
        <v>1276</v>
      </c>
      <c r="B21" t="s">
        <v>1260</v>
      </c>
      <c r="C21" s="7" t="s">
        <v>1285</v>
      </c>
      <c r="D21" t="s">
        <v>1264</v>
      </c>
      <c r="E21" s="7" t="s">
        <v>1283</v>
      </c>
      <c r="F21" t="s">
        <v>337</v>
      </c>
    </row>
    <row r="22" spans="1:6">
      <c r="A22" t="s">
        <v>1276</v>
      </c>
      <c r="B22" t="s">
        <v>1260</v>
      </c>
      <c r="C22" s="7" t="s">
        <v>1286</v>
      </c>
      <c r="D22" t="s">
        <v>1264</v>
      </c>
      <c r="E22" s="7" t="s">
        <v>1283</v>
      </c>
      <c r="F22" t="s">
        <v>337</v>
      </c>
    </row>
    <row r="23" spans="1:6">
      <c r="A23" t="s">
        <v>1276</v>
      </c>
      <c r="B23" t="s">
        <v>1260</v>
      </c>
      <c r="C23" s="7" t="s">
        <v>1287</v>
      </c>
      <c r="D23" t="s">
        <v>1264</v>
      </c>
      <c r="E23" s="7" t="s">
        <v>1283</v>
      </c>
      <c r="F23" t="s">
        <v>337</v>
      </c>
    </row>
    <row r="24" spans="1:6">
      <c r="A24" t="s">
        <v>1276</v>
      </c>
      <c r="B24" t="s">
        <v>1260</v>
      </c>
      <c r="C24" s="7" t="s">
        <v>1288</v>
      </c>
      <c r="D24" t="s">
        <v>1264</v>
      </c>
      <c r="E24" s="7" t="s">
        <v>1283</v>
      </c>
      <c r="F24" t="s">
        <v>337</v>
      </c>
    </row>
    <row r="25" spans="1:6">
      <c r="A25" t="s">
        <v>1289</v>
      </c>
      <c r="B25" t="s">
        <v>1260</v>
      </c>
      <c r="C25" t="s">
        <v>1281</v>
      </c>
      <c r="D25" t="s">
        <v>164</v>
      </c>
      <c r="E25" t="s">
        <v>1290</v>
      </c>
      <c r="F25" t="s">
        <v>337</v>
      </c>
    </row>
    <row r="26" spans="1:6">
      <c r="A26" t="s">
        <v>1289</v>
      </c>
      <c r="B26" t="s">
        <v>1260</v>
      </c>
      <c r="C26" s="7" t="s">
        <v>1291</v>
      </c>
      <c r="D26" t="s">
        <v>1264</v>
      </c>
      <c r="E26" s="7" t="s">
        <v>1290</v>
      </c>
      <c r="F26" t="s">
        <v>337</v>
      </c>
    </row>
    <row r="27" spans="1:6">
      <c r="A27" t="s">
        <v>1289</v>
      </c>
      <c r="B27" t="s">
        <v>1260</v>
      </c>
      <c r="C27" s="7" t="s">
        <v>1292</v>
      </c>
      <c r="D27" t="s">
        <v>1264</v>
      </c>
      <c r="E27" s="7" t="s">
        <v>1290</v>
      </c>
      <c r="F27" t="s">
        <v>337</v>
      </c>
    </row>
    <row r="28" spans="1:6">
      <c r="A28" t="s">
        <v>1289</v>
      </c>
      <c r="B28" t="s">
        <v>1260</v>
      </c>
      <c r="C28" s="7" t="s">
        <v>1293</v>
      </c>
      <c r="D28" t="s">
        <v>1264</v>
      </c>
      <c r="E28" s="7" t="s">
        <v>1290</v>
      </c>
      <c r="F28" t="s">
        <v>337</v>
      </c>
    </row>
    <row r="29" spans="1:6">
      <c r="A29" t="s">
        <v>1289</v>
      </c>
      <c r="B29" t="s">
        <v>1260</v>
      </c>
      <c r="C29" s="7" t="s">
        <v>1294</v>
      </c>
      <c r="D29" t="s">
        <v>1264</v>
      </c>
      <c r="E29" s="7" t="s">
        <v>1290</v>
      </c>
      <c r="F29" t="s">
        <v>337</v>
      </c>
    </row>
    <row r="30" spans="1:6">
      <c r="A30" t="s">
        <v>1289</v>
      </c>
      <c r="B30" t="s">
        <v>1260</v>
      </c>
      <c r="C30" s="7" t="s">
        <v>1295</v>
      </c>
      <c r="D30" t="s">
        <v>1264</v>
      </c>
      <c r="E30" s="7" t="s">
        <v>1290</v>
      </c>
      <c r="F30" t="s">
        <v>337</v>
      </c>
    </row>
    <row r="31" spans="1:6">
      <c r="A31" t="s">
        <v>1289</v>
      </c>
      <c r="B31" t="s">
        <v>1260</v>
      </c>
      <c r="C31" s="7" t="s">
        <v>1296</v>
      </c>
      <c r="D31" t="s">
        <v>1264</v>
      </c>
      <c r="E31" s="7" t="s">
        <v>1290</v>
      </c>
      <c r="F31" t="s">
        <v>337</v>
      </c>
    </row>
    <row r="32" spans="1:6">
      <c r="A32" t="s">
        <v>1289</v>
      </c>
      <c r="B32" t="s">
        <v>1260</v>
      </c>
      <c r="C32" t="s">
        <v>1278</v>
      </c>
      <c r="D32" t="s">
        <v>164</v>
      </c>
      <c r="E32" t="s">
        <v>1297</v>
      </c>
      <c r="F32" t="s">
        <v>337</v>
      </c>
    </row>
    <row r="33" spans="1:6">
      <c r="A33" t="s">
        <v>1289</v>
      </c>
      <c r="B33" t="s">
        <v>1260</v>
      </c>
      <c r="C33" s="7" t="s">
        <v>1298</v>
      </c>
      <c r="D33" t="s">
        <v>1264</v>
      </c>
      <c r="E33" s="7" t="s">
        <v>1297</v>
      </c>
      <c r="F33" t="s">
        <v>337</v>
      </c>
    </row>
    <row r="34" spans="1:6">
      <c r="A34" t="s">
        <v>1289</v>
      </c>
      <c r="B34" t="s">
        <v>1260</v>
      </c>
      <c r="C34" s="7" t="s">
        <v>1299</v>
      </c>
      <c r="D34" t="s">
        <v>1264</v>
      </c>
      <c r="E34" s="7" t="s">
        <v>1297</v>
      </c>
      <c r="F34" t="s">
        <v>337</v>
      </c>
    </row>
    <row r="35" spans="1:6">
      <c r="A35" t="s">
        <v>1289</v>
      </c>
      <c r="B35" t="s">
        <v>1260</v>
      </c>
      <c r="C35" s="7" t="s">
        <v>589</v>
      </c>
      <c r="D35" t="s">
        <v>1264</v>
      </c>
      <c r="E35" s="7" t="s">
        <v>1297</v>
      </c>
      <c r="F35" t="s">
        <v>337</v>
      </c>
    </row>
    <row r="36" spans="1:6">
      <c r="A36" t="s">
        <v>1289</v>
      </c>
      <c r="B36" t="s">
        <v>1260</v>
      </c>
      <c r="C36" s="7" t="s">
        <v>1300</v>
      </c>
      <c r="D36" t="s">
        <v>1264</v>
      </c>
      <c r="E36" s="7" t="s">
        <v>1297</v>
      </c>
      <c r="F36" t="s">
        <v>337</v>
      </c>
    </row>
    <row r="37" spans="1:6">
      <c r="A37" t="s">
        <v>1289</v>
      </c>
      <c r="B37" t="s">
        <v>1260</v>
      </c>
      <c r="C37" s="7" t="s">
        <v>1301</v>
      </c>
      <c r="D37" t="s">
        <v>1264</v>
      </c>
      <c r="E37" s="7" t="s">
        <v>1297</v>
      </c>
      <c r="F37" t="s">
        <v>337</v>
      </c>
    </row>
    <row r="38" spans="1:6">
      <c r="A38" t="s">
        <v>1302</v>
      </c>
      <c r="B38" t="s">
        <v>1260</v>
      </c>
      <c r="C38" t="s">
        <v>1284</v>
      </c>
      <c r="D38" t="s">
        <v>164</v>
      </c>
      <c r="E38" t="s">
        <v>1303</v>
      </c>
      <c r="F38" t="s">
        <v>337</v>
      </c>
    </row>
    <row r="39" spans="1:6">
      <c r="A39" t="s">
        <v>1302</v>
      </c>
      <c r="B39" t="s">
        <v>1260</v>
      </c>
      <c r="C39" s="7" t="s">
        <v>1304</v>
      </c>
      <c r="D39" t="s">
        <v>1264</v>
      </c>
      <c r="E39" s="7" t="s">
        <v>1303</v>
      </c>
      <c r="F39" t="s">
        <v>337</v>
      </c>
    </row>
    <row r="40" spans="1:6">
      <c r="A40" t="s">
        <v>1302</v>
      </c>
      <c r="B40" t="s">
        <v>1260</v>
      </c>
      <c r="C40" s="7" t="s">
        <v>1305</v>
      </c>
      <c r="D40" t="s">
        <v>1264</v>
      </c>
      <c r="E40" s="7" t="s">
        <v>1303</v>
      </c>
      <c r="F40" t="s">
        <v>337</v>
      </c>
    </row>
    <row r="41" spans="1:6">
      <c r="A41" t="s">
        <v>1302</v>
      </c>
      <c r="B41" t="s">
        <v>1260</v>
      </c>
      <c r="C41" s="7" t="s">
        <v>1306</v>
      </c>
      <c r="D41" t="s">
        <v>1264</v>
      </c>
      <c r="E41" s="7" t="s">
        <v>1303</v>
      </c>
      <c r="F41" t="s">
        <v>337</v>
      </c>
    </row>
    <row r="42" spans="1:6">
      <c r="A42" t="s">
        <v>1302</v>
      </c>
      <c r="B42" t="s">
        <v>1260</v>
      </c>
      <c r="C42" s="7" t="s">
        <v>1307</v>
      </c>
      <c r="D42" t="s">
        <v>1264</v>
      </c>
      <c r="E42" s="7" t="s">
        <v>1303</v>
      </c>
      <c r="F42" t="s">
        <v>337</v>
      </c>
    </row>
    <row r="43" spans="1:6">
      <c r="A43" t="s">
        <v>1302</v>
      </c>
      <c r="B43" t="s">
        <v>1260</v>
      </c>
      <c r="C43" s="7" t="s">
        <v>1308</v>
      </c>
      <c r="D43" t="s">
        <v>1264</v>
      </c>
      <c r="E43" s="7" t="s">
        <v>1303</v>
      </c>
      <c r="F43" t="s">
        <v>337</v>
      </c>
    </row>
    <row r="44" spans="1:6">
      <c r="A44" t="s">
        <v>1302</v>
      </c>
      <c r="B44" t="s">
        <v>1260</v>
      </c>
      <c r="C44" t="s">
        <v>1300</v>
      </c>
      <c r="D44" t="s">
        <v>164</v>
      </c>
      <c r="E44" t="s">
        <v>1309</v>
      </c>
      <c r="F44" t="s">
        <v>337</v>
      </c>
    </row>
    <row r="45" spans="1:6">
      <c r="A45" t="s">
        <v>1302</v>
      </c>
      <c r="B45" t="s">
        <v>1260</v>
      </c>
      <c r="C45" s="7" t="s">
        <v>1310</v>
      </c>
      <c r="D45" t="s">
        <v>1264</v>
      </c>
      <c r="E45" s="7" t="s">
        <v>1309</v>
      </c>
      <c r="F45" t="s">
        <v>337</v>
      </c>
    </row>
    <row r="46" spans="1:6">
      <c r="A46" t="s">
        <v>1302</v>
      </c>
      <c r="B46" t="s">
        <v>1260</v>
      </c>
      <c r="C46" s="7" t="s">
        <v>1311</v>
      </c>
      <c r="D46" t="s">
        <v>1264</v>
      </c>
      <c r="E46" s="7" t="s">
        <v>1309</v>
      </c>
      <c r="F46" t="s">
        <v>337</v>
      </c>
    </row>
    <row r="47" spans="1:6">
      <c r="A47" t="s">
        <v>1302</v>
      </c>
      <c r="B47" t="s">
        <v>1260</v>
      </c>
      <c r="C47" s="7" t="s">
        <v>1312</v>
      </c>
      <c r="D47" t="s">
        <v>1264</v>
      </c>
      <c r="E47" s="7" t="s">
        <v>1309</v>
      </c>
      <c r="F47" t="s">
        <v>337</v>
      </c>
    </row>
    <row r="48" spans="1:6">
      <c r="A48" t="s">
        <v>1302</v>
      </c>
      <c r="B48" t="s">
        <v>1260</v>
      </c>
      <c r="C48" s="7" t="s">
        <v>1313</v>
      </c>
      <c r="D48" t="s">
        <v>1264</v>
      </c>
      <c r="E48" s="7" t="s">
        <v>1309</v>
      </c>
      <c r="F48" t="s">
        <v>337</v>
      </c>
    </row>
    <row r="49" spans="1:6">
      <c r="A49" t="s">
        <v>1314</v>
      </c>
      <c r="B49" t="s">
        <v>1260</v>
      </c>
      <c r="C49" t="s">
        <v>1308</v>
      </c>
      <c r="D49" t="s">
        <v>164</v>
      </c>
      <c r="E49" t="s">
        <v>1315</v>
      </c>
      <c r="F49" t="s">
        <v>337</v>
      </c>
    </row>
    <row r="50" spans="1:6">
      <c r="A50" t="s">
        <v>1314</v>
      </c>
      <c r="B50" t="s">
        <v>1260</v>
      </c>
      <c r="C50" s="7" t="s">
        <v>1316</v>
      </c>
      <c r="D50" t="s">
        <v>1264</v>
      </c>
      <c r="E50" s="7" t="s">
        <v>1315</v>
      </c>
      <c r="F50" t="s">
        <v>337</v>
      </c>
    </row>
    <row r="51" spans="1:6">
      <c r="A51" t="s">
        <v>1314</v>
      </c>
      <c r="B51" t="s">
        <v>1260</v>
      </c>
      <c r="C51" s="7" t="s">
        <v>1317</v>
      </c>
      <c r="D51" t="s">
        <v>1264</v>
      </c>
      <c r="E51" s="7" t="s">
        <v>1315</v>
      </c>
      <c r="F51" t="s">
        <v>337</v>
      </c>
    </row>
    <row r="52" spans="1:6">
      <c r="A52" t="s">
        <v>1314</v>
      </c>
      <c r="B52" t="s">
        <v>1260</v>
      </c>
      <c r="C52" s="7" t="s">
        <v>1318</v>
      </c>
      <c r="D52" t="s">
        <v>1264</v>
      </c>
      <c r="E52" s="7" t="s">
        <v>1315</v>
      </c>
      <c r="F52" t="s">
        <v>337</v>
      </c>
    </row>
    <row r="53" spans="1:6">
      <c r="A53" t="s">
        <v>1314</v>
      </c>
      <c r="B53" t="s">
        <v>1260</v>
      </c>
      <c r="C53" s="7" t="s">
        <v>1319</v>
      </c>
      <c r="D53" t="s">
        <v>1264</v>
      </c>
      <c r="E53" s="7" t="s">
        <v>1315</v>
      </c>
      <c r="F53" t="s">
        <v>337</v>
      </c>
    </row>
    <row r="54" spans="1:6">
      <c r="A54" t="s">
        <v>1314</v>
      </c>
      <c r="B54" t="s">
        <v>1260</v>
      </c>
      <c r="C54" s="7" t="s">
        <v>1320</v>
      </c>
      <c r="D54" t="s">
        <v>1264</v>
      </c>
      <c r="E54" s="7" t="s">
        <v>1315</v>
      </c>
      <c r="F54" t="s">
        <v>337</v>
      </c>
    </row>
    <row r="55" spans="1:6">
      <c r="A55" t="s">
        <v>1314</v>
      </c>
      <c r="B55" t="s">
        <v>1260</v>
      </c>
      <c r="C55" t="s">
        <v>1304</v>
      </c>
      <c r="D55" t="s">
        <v>164</v>
      </c>
      <c r="E55" t="s">
        <v>1321</v>
      </c>
      <c r="F55" t="s">
        <v>337</v>
      </c>
    </row>
    <row r="56" spans="1:6">
      <c r="A56" t="s">
        <v>1314</v>
      </c>
      <c r="B56" t="s">
        <v>1260</v>
      </c>
      <c r="C56" s="7" t="s">
        <v>734</v>
      </c>
      <c r="D56" t="s">
        <v>1264</v>
      </c>
      <c r="E56" s="7" t="s">
        <v>1321</v>
      </c>
      <c r="F56" t="s">
        <v>337</v>
      </c>
    </row>
    <row r="57" spans="1:6">
      <c r="A57" t="s">
        <v>1314</v>
      </c>
      <c r="B57" t="s">
        <v>1260</v>
      </c>
      <c r="C57" s="7" t="s">
        <v>1322</v>
      </c>
      <c r="D57" t="s">
        <v>1264</v>
      </c>
      <c r="E57" s="7" t="s">
        <v>1321</v>
      </c>
      <c r="F57" t="s">
        <v>337</v>
      </c>
    </row>
    <row r="58" spans="1:6">
      <c r="A58" t="s">
        <v>1314</v>
      </c>
      <c r="B58" t="s">
        <v>1260</v>
      </c>
      <c r="C58" s="7" t="s">
        <v>1323</v>
      </c>
      <c r="D58" t="s">
        <v>1264</v>
      </c>
      <c r="E58" s="7" t="s">
        <v>1321</v>
      </c>
      <c r="F58" t="s">
        <v>337</v>
      </c>
    </row>
    <row r="59" spans="1:6">
      <c r="A59" t="s">
        <v>1314</v>
      </c>
      <c r="B59" t="s">
        <v>1260</v>
      </c>
      <c r="C59" s="7" t="s">
        <v>1324</v>
      </c>
      <c r="D59" t="s">
        <v>1264</v>
      </c>
      <c r="E59" s="7" t="s">
        <v>1321</v>
      </c>
      <c r="F59" t="s">
        <v>337</v>
      </c>
    </row>
    <row r="60" spans="1:6">
      <c r="A60" t="s">
        <v>1314</v>
      </c>
      <c r="B60" t="s">
        <v>1260</v>
      </c>
      <c r="C60" s="7" t="s">
        <v>1325</v>
      </c>
      <c r="D60" t="s">
        <v>1264</v>
      </c>
      <c r="E60" s="7" t="s">
        <v>1321</v>
      </c>
      <c r="F60" t="s">
        <v>337</v>
      </c>
    </row>
    <row r="61" spans="1:6">
      <c r="A61" t="s">
        <v>1314</v>
      </c>
      <c r="B61" t="s">
        <v>1260</v>
      </c>
      <c r="C61" t="s">
        <v>370</v>
      </c>
      <c r="D61" t="s">
        <v>164</v>
      </c>
      <c r="E61" t="s">
        <v>1326</v>
      </c>
      <c r="F61" t="s">
        <v>337</v>
      </c>
    </row>
    <row r="62" spans="1:6">
      <c r="A62" t="s">
        <v>1314</v>
      </c>
      <c r="B62" t="s">
        <v>1260</v>
      </c>
      <c r="C62" s="7" t="s">
        <v>1327</v>
      </c>
      <c r="D62" t="s">
        <v>1264</v>
      </c>
      <c r="E62" s="7" t="s">
        <v>1326</v>
      </c>
      <c r="F62" t="s">
        <v>337</v>
      </c>
    </row>
    <row r="63" spans="1:6">
      <c r="A63" t="s">
        <v>1314</v>
      </c>
      <c r="B63" t="s">
        <v>1260</v>
      </c>
      <c r="C63" s="7" t="s">
        <v>1328</v>
      </c>
      <c r="D63" t="s">
        <v>1264</v>
      </c>
      <c r="E63" s="7" t="s">
        <v>1326</v>
      </c>
      <c r="F63" t="s">
        <v>337</v>
      </c>
    </row>
    <row r="64" spans="1:6">
      <c r="A64" t="s">
        <v>1314</v>
      </c>
      <c r="B64" t="s">
        <v>1260</v>
      </c>
      <c r="C64" s="7" t="s">
        <v>1329</v>
      </c>
      <c r="D64" t="s">
        <v>1264</v>
      </c>
      <c r="E64" s="7" t="s">
        <v>1326</v>
      </c>
      <c r="F64" t="s">
        <v>337</v>
      </c>
    </row>
    <row r="65" spans="1:6">
      <c r="A65" t="s">
        <v>1330</v>
      </c>
      <c r="B65" t="s">
        <v>1260</v>
      </c>
      <c r="C65" s="7" t="s">
        <v>557</v>
      </c>
      <c r="D65" t="s">
        <v>164</v>
      </c>
      <c r="E65" t="s">
        <v>1331</v>
      </c>
    </row>
    <row r="66" spans="1:6">
      <c r="A66" t="s">
        <v>1330</v>
      </c>
      <c r="B66" t="s">
        <v>1260</v>
      </c>
      <c r="C66" s="7" t="s">
        <v>766</v>
      </c>
      <c r="D66" t="s">
        <v>1264</v>
      </c>
      <c r="E66" s="7" t="s">
        <v>1331</v>
      </c>
    </row>
    <row r="67" spans="1:6">
      <c r="A67" t="s">
        <v>1330</v>
      </c>
      <c r="B67" t="s">
        <v>1260</v>
      </c>
      <c r="C67" s="7" t="s">
        <v>765</v>
      </c>
      <c r="D67" t="s">
        <v>1264</v>
      </c>
      <c r="E67" s="7" t="s">
        <v>1331</v>
      </c>
    </row>
    <row r="68" spans="1:6">
      <c r="A68" t="s">
        <v>1330</v>
      </c>
      <c r="B68" t="s">
        <v>1260</v>
      </c>
      <c r="C68" s="7" t="s">
        <v>767</v>
      </c>
      <c r="D68" t="s">
        <v>1264</v>
      </c>
      <c r="E68" s="7" t="s">
        <v>1331</v>
      </c>
    </row>
    <row r="69" spans="1:6">
      <c r="A69" t="s">
        <v>1330</v>
      </c>
      <c r="B69" t="s">
        <v>1260</v>
      </c>
      <c r="C69" s="7" t="s">
        <v>552</v>
      </c>
      <c r="D69" t="s">
        <v>164</v>
      </c>
      <c r="E69" t="s">
        <v>1332</v>
      </c>
      <c r="F69" t="s">
        <v>647</v>
      </c>
    </row>
    <row r="70" spans="1:6">
      <c r="A70" t="s">
        <v>1330</v>
      </c>
      <c r="B70" t="s">
        <v>1260</v>
      </c>
      <c r="C70" s="7" t="s">
        <v>1333</v>
      </c>
      <c r="D70" t="s">
        <v>1264</v>
      </c>
      <c r="E70" s="7" t="s">
        <v>1332</v>
      </c>
      <c r="F70" t="s">
        <v>647</v>
      </c>
    </row>
    <row r="71" spans="1:6">
      <c r="A71" t="s">
        <v>1330</v>
      </c>
      <c r="B71" t="s">
        <v>1260</v>
      </c>
      <c r="C71" s="7" t="s">
        <v>1334</v>
      </c>
      <c r="D71" t="s">
        <v>1264</v>
      </c>
      <c r="E71" s="7" t="s">
        <v>1332</v>
      </c>
      <c r="F71" t="s">
        <v>647</v>
      </c>
    </row>
    <row r="72" spans="1:6">
      <c r="A72" t="s">
        <v>1330</v>
      </c>
      <c r="B72" t="s">
        <v>1260</v>
      </c>
      <c r="C72" s="7" t="s">
        <v>1335</v>
      </c>
      <c r="D72" t="s">
        <v>1264</v>
      </c>
      <c r="E72" s="7" t="s">
        <v>1332</v>
      </c>
      <c r="F72" t="s">
        <v>647</v>
      </c>
    </row>
    <row r="73" spans="1:6">
      <c r="A73" t="s">
        <v>1330</v>
      </c>
      <c r="B73" t="s">
        <v>1260</v>
      </c>
      <c r="C73" s="7" t="s">
        <v>1336</v>
      </c>
      <c r="D73" t="s">
        <v>1264</v>
      </c>
      <c r="E73" s="7" t="s">
        <v>1332</v>
      </c>
      <c r="F73" t="s">
        <v>647</v>
      </c>
    </row>
    <row r="74" spans="1:6">
      <c r="A74" t="s">
        <v>1330</v>
      </c>
      <c r="B74" t="s">
        <v>1260</v>
      </c>
      <c r="C74" s="7" t="s">
        <v>1311</v>
      </c>
      <c r="D74" t="s">
        <v>164</v>
      </c>
      <c r="E74" t="s">
        <v>1337</v>
      </c>
    </row>
    <row r="75" spans="1:6">
      <c r="A75" t="s">
        <v>1330</v>
      </c>
      <c r="B75" t="s">
        <v>1260</v>
      </c>
      <c r="C75" s="7" t="s">
        <v>1338</v>
      </c>
      <c r="D75" t="s">
        <v>1264</v>
      </c>
      <c r="E75" s="7" t="s">
        <v>1337</v>
      </c>
    </row>
    <row r="76" spans="1:6">
      <c r="A76" t="s">
        <v>1330</v>
      </c>
      <c r="B76" t="s">
        <v>1260</v>
      </c>
      <c r="C76" s="7" t="s">
        <v>1339</v>
      </c>
      <c r="D76" t="s">
        <v>1264</v>
      </c>
      <c r="E76" s="7" t="s">
        <v>1337</v>
      </c>
    </row>
    <row r="77" spans="1:6">
      <c r="A77" t="s">
        <v>1330</v>
      </c>
      <c r="B77" t="s">
        <v>1260</v>
      </c>
      <c r="C77" s="7" t="s">
        <v>1340</v>
      </c>
      <c r="D77" t="s">
        <v>1264</v>
      </c>
      <c r="E77" s="7" t="s">
        <v>1337</v>
      </c>
    </row>
    <row r="78" spans="1:6">
      <c r="A78" t="s">
        <v>1330</v>
      </c>
      <c r="B78" t="s">
        <v>1260</v>
      </c>
      <c r="C78" s="7" t="s">
        <v>1341</v>
      </c>
      <c r="D78" t="s">
        <v>1264</v>
      </c>
      <c r="E78" s="7" t="s">
        <v>1337</v>
      </c>
    </row>
    <row r="79" spans="1:6">
      <c r="A79" t="s">
        <v>1330</v>
      </c>
      <c r="B79" t="s">
        <v>1260</v>
      </c>
      <c r="C79" s="7" t="s">
        <v>1316</v>
      </c>
      <c r="D79" t="s">
        <v>164</v>
      </c>
      <c r="E79" t="s">
        <v>1342</v>
      </c>
    </row>
    <row r="80" spans="1:6">
      <c r="A80" t="s">
        <v>1330</v>
      </c>
      <c r="B80" t="s">
        <v>1260</v>
      </c>
      <c r="C80" s="7" t="s">
        <v>1343</v>
      </c>
      <c r="D80" t="s">
        <v>1264</v>
      </c>
      <c r="E80" s="7" t="s">
        <v>1342</v>
      </c>
    </row>
    <row r="81" spans="1:6">
      <c r="A81" t="s">
        <v>1330</v>
      </c>
      <c r="B81" t="s">
        <v>1260</v>
      </c>
      <c r="C81" s="7" t="s">
        <v>795</v>
      </c>
      <c r="D81" t="s">
        <v>1264</v>
      </c>
      <c r="E81" s="7" t="s">
        <v>1342</v>
      </c>
    </row>
    <row r="82" spans="1:6">
      <c r="A82" t="s">
        <v>1330</v>
      </c>
      <c r="B82" t="s">
        <v>1260</v>
      </c>
      <c r="C82" s="7" t="s">
        <v>1344</v>
      </c>
      <c r="D82" t="s">
        <v>1264</v>
      </c>
      <c r="E82" s="7" t="s">
        <v>1342</v>
      </c>
    </row>
    <row r="83" spans="1:6">
      <c r="A83" t="s">
        <v>1330</v>
      </c>
      <c r="B83" t="s">
        <v>1260</v>
      </c>
      <c r="C83" s="7" t="s">
        <v>1345</v>
      </c>
      <c r="D83" t="s">
        <v>1264</v>
      </c>
      <c r="E83" s="7" t="s">
        <v>1342</v>
      </c>
    </row>
    <row r="84" spans="1:6">
      <c r="A84" t="s">
        <v>1330</v>
      </c>
      <c r="B84" t="s">
        <v>1260</v>
      </c>
      <c r="C84" s="7" t="s">
        <v>1346</v>
      </c>
      <c r="D84" t="s">
        <v>1264</v>
      </c>
      <c r="E84" s="7" t="s">
        <v>1342</v>
      </c>
    </row>
    <row r="85" spans="1:6">
      <c r="A85" t="s">
        <v>1347</v>
      </c>
      <c r="B85" t="s">
        <v>1260</v>
      </c>
      <c r="C85" s="7" t="s">
        <v>1265</v>
      </c>
      <c r="D85" t="s">
        <v>164</v>
      </c>
      <c r="E85" t="s">
        <v>1348</v>
      </c>
    </row>
    <row r="86" spans="1:6">
      <c r="A86" t="s">
        <v>1347</v>
      </c>
      <c r="B86" t="s">
        <v>1260</v>
      </c>
      <c r="C86" s="7" t="s">
        <v>1349</v>
      </c>
      <c r="D86" t="s">
        <v>1264</v>
      </c>
      <c r="E86" s="7" t="s">
        <v>1348</v>
      </c>
    </row>
    <row r="87" spans="1:6">
      <c r="A87" t="s">
        <v>1347</v>
      </c>
      <c r="B87" t="s">
        <v>1260</v>
      </c>
      <c r="C87" s="7" t="s">
        <v>1350</v>
      </c>
      <c r="D87" t="s">
        <v>1264</v>
      </c>
      <c r="E87" s="7" t="s">
        <v>1348</v>
      </c>
    </row>
    <row r="88" spans="1:6">
      <c r="A88" t="s">
        <v>1347</v>
      </c>
      <c r="B88" t="s">
        <v>1260</v>
      </c>
      <c r="C88" s="7" t="s">
        <v>1351</v>
      </c>
      <c r="D88" t="s">
        <v>1264</v>
      </c>
      <c r="E88" s="7" t="s">
        <v>1348</v>
      </c>
    </row>
    <row r="89" spans="1:6">
      <c r="A89" t="s">
        <v>1347</v>
      </c>
      <c r="B89" t="s">
        <v>1260</v>
      </c>
      <c r="C89" s="7" t="s">
        <v>1352</v>
      </c>
      <c r="D89" t="s">
        <v>1264</v>
      </c>
      <c r="E89" s="7" t="s">
        <v>1348</v>
      </c>
    </row>
    <row r="90" spans="1:6">
      <c r="A90" t="s">
        <v>1347</v>
      </c>
      <c r="B90" t="s">
        <v>1260</v>
      </c>
      <c r="C90" s="7" t="s">
        <v>1353</v>
      </c>
      <c r="D90" t="s">
        <v>1264</v>
      </c>
      <c r="E90" s="7" t="s">
        <v>1348</v>
      </c>
    </row>
    <row r="91" spans="1:6">
      <c r="A91" t="s">
        <v>1347</v>
      </c>
      <c r="B91" t="s">
        <v>1260</v>
      </c>
      <c r="C91" s="7" t="s">
        <v>1327</v>
      </c>
      <c r="D91" t="s">
        <v>164</v>
      </c>
      <c r="E91" t="s">
        <v>1355</v>
      </c>
      <c r="F91" t="s">
        <v>647</v>
      </c>
    </row>
    <row r="92" spans="1:6">
      <c r="A92" t="s">
        <v>1347</v>
      </c>
      <c r="B92" t="s">
        <v>1260</v>
      </c>
      <c r="C92" s="7" t="s">
        <v>1356</v>
      </c>
      <c r="D92" t="s">
        <v>1264</v>
      </c>
      <c r="E92" s="7" t="s">
        <v>1355</v>
      </c>
      <c r="F92" t="s">
        <v>647</v>
      </c>
    </row>
    <row r="93" spans="1:6">
      <c r="A93" t="s">
        <v>1347</v>
      </c>
      <c r="B93" t="s">
        <v>1260</v>
      </c>
      <c r="C93" s="7" t="s">
        <v>1357</v>
      </c>
      <c r="D93" t="s">
        <v>1264</v>
      </c>
      <c r="E93" s="7" t="s">
        <v>1355</v>
      </c>
      <c r="F93" t="s">
        <v>647</v>
      </c>
    </row>
    <row r="94" spans="1:6">
      <c r="A94" t="s">
        <v>1347</v>
      </c>
      <c r="B94" t="s">
        <v>1260</v>
      </c>
      <c r="C94" s="7" t="s">
        <v>1358</v>
      </c>
      <c r="D94" t="s">
        <v>1264</v>
      </c>
      <c r="E94" s="7" t="s">
        <v>1355</v>
      </c>
      <c r="F94" t="s">
        <v>647</v>
      </c>
    </row>
    <row r="95" spans="1:6">
      <c r="A95" t="s">
        <v>1347</v>
      </c>
      <c r="B95" t="s">
        <v>1260</v>
      </c>
      <c r="C95" s="7" t="s">
        <v>1359</v>
      </c>
      <c r="D95" t="s">
        <v>1264</v>
      </c>
      <c r="E95" s="7" t="s">
        <v>1355</v>
      </c>
      <c r="F95" t="s">
        <v>647</v>
      </c>
    </row>
    <row r="96" spans="1:6">
      <c r="A96" t="s">
        <v>1347</v>
      </c>
      <c r="B96" t="s">
        <v>1260</v>
      </c>
      <c r="C96" s="7" t="s">
        <v>1360</v>
      </c>
      <c r="D96" t="s">
        <v>1264</v>
      </c>
      <c r="E96" s="7" t="s">
        <v>1355</v>
      </c>
      <c r="F96" t="s">
        <v>647</v>
      </c>
    </row>
    <row r="97" spans="1:6">
      <c r="A97" t="s">
        <v>1347</v>
      </c>
      <c r="B97" t="s">
        <v>1260</v>
      </c>
      <c r="C97" s="7" t="s">
        <v>1361</v>
      </c>
      <c r="D97" t="s">
        <v>1264</v>
      </c>
      <c r="E97" s="7" t="s">
        <v>1355</v>
      </c>
      <c r="F97" t="s">
        <v>647</v>
      </c>
    </row>
    <row r="98" spans="1:6">
      <c r="A98" t="s">
        <v>1347</v>
      </c>
      <c r="B98" t="s">
        <v>1260</v>
      </c>
      <c r="C98" s="7" t="s">
        <v>795</v>
      </c>
      <c r="D98" t="s">
        <v>164</v>
      </c>
      <c r="E98" t="s">
        <v>1362</v>
      </c>
    </row>
    <row r="99" spans="1:6">
      <c r="A99" t="s">
        <v>1347</v>
      </c>
      <c r="B99" t="s">
        <v>1260</v>
      </c>
      <c r="C99" s="7" t="s">
        <v>1363</v>
      </c>
      <c r="D99" t="s">
        <v>1264</v>
      </c>
      <c r="E99" s="7" t="s">
        <v>1362</v>
      </c>
    </row>
    <row r="100" spans="1:6">
      <c r="A100" t="s">
        <v>1347</v>
      </c>
      <c r="B100" t="s">
        <v>1260</v>
      </c>
      <c r="C100" s="7" t="s">
        <v>797</v>
      </c>
      <c r="D100" t="s">
        <v>1264</v>
      </c>
      <c r="E100" s="7" t="s">
        <v>1362</v>
      </c>
    </row>
    <row r="101" spans="1:6">
      <c r="A101" t="s">
        <v>1347</v>
      </c>
      <c r="B101" t="s">
        <v>1260</v>
      </c>
      <c r="C101" s="7" t="s">
        <v>1364</v>
      </c>
      <c r="D101" t="s">
        <v>1264</v>
      </c>
      <c r="E101" s="7" t="s">
        <v>1362</v>
      </c>
    </row>
    <row r="102" spans="1:6">
      <c r="A102" t="s">
        <v>1347</v>
      </c>
      <c r="B102" t="s">
        <v>1260</v>
      </c>
      <c r="C102" s="7" t="s">
        <v>798</v>
      </c>
      <c r="D102" t="s">
        <v>1264</v>
      </c>
      <c r="E102" s="7" t="s">
        <v>1362</v>
      </c>
    </row>
    <row r="103" spans="1:6">
      <c r="A103" t="s">
        <v>1347</v>
      </c>
      <c r="B103" t="s">
        <v>1260</v>
      </c>
      <c r="C103" s="7" t="s">
        <v>1341</v>
      </c>
      <c r="D103" t="s">
        <v>164</v>
      </c>
      <c r="E103" t="s">
        <v>1365</v>
      </c>
      <c r="F103" t="s">
        <v>337</v>
      </c>
    </row>
    <row r="104" spans="1:6">
      <c r="A104" t="s">
        <v>1347</v>
      </c>
      <c r="B104" t="s">
        <v>1260</v>
      </c>
      <c r="C104" s="7" t="s">
        <v>1366</v>
      </c>
      <c r="D104" t="s">
        <v>1264</v>
      </c>
      <c r="E104" s="7" t="s">
        <v>1365</v>
      </c>
      <c r="F104" t="s">
        <v>337</v>
      </c>
    </row>
    <row r="105" spans="1:6">
      <c r="A105" t="s">
        <v>1347</v>
      </c>
      <c r="B105" t="s">
        <v>1260</v>
      </c>
      <c r="C105" s="7" t="s">
        <v>1367</v>
      </c>
      <c r="D105" t="s">
        <v>1264</v>
      </c>
      <c r="E105" s="7" t="s">
        <v>1365</v>
      </c>
      <c r="F105" t="s">
        <v>337</v>
      </c>
    </row>
    <row r="106" spans="1:6">
      <c r="A106" t="s">
        <v>1347</v>
      </c>
      <c r="B106" t="s">
        <v>1260</v>
      </c>
      <c r="C106" s="7" t="s">
        <v>1368</v>
      </c>
      <c r="D106" t="s">
        <v>1264</v>
      </c>
      <c r="E106" s="7" t="s">
        <v>1365</v>
      </c>
      <c r="F106" t="s">
        <v>337</v>
      </c>
    </row>
    <row r="107" spans="1:6">
      <c r="A107" t="s">
        <v>1347</v>
      </c>
      <c r="B107" t="s">
        <v>1260</v>
      </c>
      <c r="C107" s="7" t="s">
        <v>1369</v>
      </c>
      <c r="D107" t="s">
        <v>1264</v>
      </c>
      <c r="E107" s="7" t="s">
        <v>1365</v>
      </c>
      <c r="F107" t="s">
        <v>337</v>
      </c>
    </row>
    <row r="108" spans="1:6">
      <c r="A108" t="s">
        <v>1347</v>
      </c>
      <c r="B108" t="s">
        <v>1260</v>
      </c>
      <c r="C108" s="7" t="s">
        <v>1370</v>
      </c>
      <c r="D108" t="s">
        <v>1264</v>
      </c>
      <c r="E108" s="7" t="s">
        <v>1365</v>
      </c>
      <c r="F108" t="s">
        <v>337</v>
      </c>
    </row>
    <row r="109" spans="1:6">
      <c r="A109" t="s">
        <v>1347</v>
      </c>
      <c r="B109" t="s">
        <v>1260</v>
      </c>
      <c r="C109" s="7" t="s">
        <v>652</v>
      </c>
      <c r="D109" t="s">
        <v>164</v>
      </c>
      <c r="E109" t="s">
        <v>1371</v>
      </c>
    </row>
    <row r="110" spans="1:6">
      <c r="A110" t="s">
        <v>1347</v>
      </c>
      <c r="B110" t="s">
        <v>1260</v>
      </c>
      <c r="C110" s="7" t="s">
        <v>1372</v>
      </c>
      <c r="D110" t="s">
        <v>1264</v>
      </c>
      <c r="E110" s="7" t="s">
        <v>1371</v>
      </c>
    </row>
    <row r="111" spans="1:6">
      <c r="A111" t="s">
        <v>1347</v>
      </c>
      <c r="B111" t="s">
        <v>1260</v>
      </c>
      <c r="C111" s="7" t="s">
        <v>1373</v>
      </c>
      <c r="D111" t="s">
        <v>1264</v>
      </c>
      <c r="E111" s="7" t="s">
        <v>1371</v>
      </c>
    </row>
    <row r="112" spans="1:6">
      <c r="A112" t="s">
        <v>1347</v>
      </c>
      <c r="B112" t="s">
        <v>1260</v>
      </c>
      <c r="C112" s="7" t="s">
        <v>1374</v>
      </c>
      <c r="D112" t="s">
        <v>1264</v>
      </c>
      <c r="E112" s="7" t="s">
        <v>1371</v>
      </c>
    </row>
    <row r="113" spans="1:6">
      <c r="A113" t="s">
        <v>1347</v>
      </c>
      <c r="B113" t="s">
        <v>1260</v>
      </c>
      <c r="C113" s="7" t="s">
        <v>1375</v>
      </c>
      <c r="D113" t="s">
        <v>1264</v>
      </c>
      <c r="E113" s="7" t="s">
        <v>1371</v>
      </c>
    </row>
    <row r="114" spans="1:6">
      <c r="A114" t="s">
        <v>1347</v>
      </c>
      <c r="B114" t="s">
        <v>1260</v>
      </c>
      <c r="C114" s="7" t="s">
        <v>1376</v>
      </c>
      <c r="D114" t="s">
        <v>1264</v>
      </c>
      <c r="E114" s="7" t="s">
        <v>1371</v>
      </c>
    </row>
    <row r="115" spans="1:6">
      <c r="A115" t="s">
        <v>1377</v>
      </c>
      <c r="B115" t="s">
        <v>1260</v>
      </c>
      <c r="C115" s="7" t="s">
        <v>1322</v>
      </c>
      <c r="D115" t="s">
        <v>164</v>
      </c>
      <c r="E115" t="s">
        <v>1378</v>
      </c>
      <c r="F115" t="s">
        <v>337</v>
      </c>
    </row>
    <row r="116" spans="1:6">
      <c r="A116" t="s">
        <v>1377</v>
      </c>
      <c r="B116" t="s">
        <v>1260</v>
      </c>
      <c r="C116" s="7" t="s">
        <v>886</v>
      </c>
      <c r="D116" t="s">
        <v>1264</v>
      </c>
      <c r="E116" s="7" t="s">
        <v>1378</v>
      </c>
      <c r="F116" t="s">
        <v>337</v>
      </c>
    </row>
    <row r="117" spans="1:6">
      <c r="A117" t="s">
        <v>1377</v>
      </c>
      <c r="B117" t="s">
        <v>1260</v>
      </c>
      <c r="C117" s="7" t="s">
        <v>1379</v>
      </c>
      <c r="D117" t="s">
        <v>1264</v>
      </c>
      <c r="E117" s="7" t="s">
        <v>1378</v>
      </c>
      <c r="F117" t="s">
        <v>337</v>
      </c>
    </row>
    <row r="118" spans="1:6">
      <c r="A118" t="s">
        <v>1377</v>
      </c>
      <c r="B118" t="s">
        <v>1260</v>
      </c>
      <c r="C118" s="7" t="s">
        <v>1380</v>
      </c>
      <c r="D118" t="s">
        <v>1264</v>
      </c>
      <c r="E118" s="7" t="s">
        <v>1378</v>
      </c>
      <c r="F118" t="s">
        <v>337</v>
      </c>
    </row>
    <row r="119" spans="1:6">
      <c r="A119" t="s">
        <v>1377</v>
      </c>
      <c r="B119" t="s">
        <v>1260</v>
      </c>
      <c r="C119" s="7" t="s">
        <v>1381</v>
      </c>
      <c r="D119" t="s">
        <v>1264</v>
      </c>
      <c r="E119" s="7" t="s">
        <v>1378</v>
      </c>
      <c r="F119" t="s">
        <v>337</v>
      </c>
    </row>
    <row r="120" spans="1:6">
      <c r="A120" t="s">
        <v>1377</v>
      </c>
      <c r="B120" t="s">
        <v>1260</v>
      </c>
      <c r="C120" s="7" t="s">
        <v>1375</v>
      </c>
      <c r="D120" t="s">
        <v>164</v>
      </c>
      <c r="E120" t="s">
        <v>1382</v>
      </c>
      <c r="F120" t="s">
        <v>647</v>
      </c>
    </row>
    <row r="121" spans="1:6">
      <c r="A121" t="s">
        <v>1377</v>
      </c>
      <c r="B121" t="s">
        <v>1260</v>
      </c>
      <c r="C121" s="7" t="s">
        <v>1383</v>
      </c>
      <c r="D121" t="s">
        <v>1264</v>
      </c>
      <c r="E121" s="7" t="s">
        <v>1382</v>
      </c>
      <c r="F121" t="s">
        <v>647</v>
      </c>
    </row>
    <row r="122" spans="1:6">
      <c r="A122" t="s">
        <v>1377</v>
      </c>
      <c r="B122" t="s">
        <v>1260</v>
      </c>
      <c r="C122" s="7" t="s">
        <v>1384</v>
      </c>
      <c r="D122" t="s">
        <v>1264</v>
      </c>
      <c r="E122" s="7" t="s">
        <v>1382</v>
      </c>
      <c r="F122" t="s">
        <v>647</v>
      </c>
    </row>
    <row r="123" spans="1:6">
      <c r="A123" t="s">
        <v>1377</v>
      </c>
      <c r="B123" t="s">
        <v>1260</v>
      </c>
      <c r="C123" s="7" t="s">
        <v>1385</v>
      </c>
      <c r="D123" t="s">
        <v>1264</v>
      </c>
      <c r="E123" s="7" t="s">
        <v>1382</v>
      </c>
      <c r="F123" t="s">
        <v>647</v>
      </c>
    </row>
    <row r="124" spans="1:6">
      <c r="A124" t="s">
        <v>1377</v>
      </c>
      <c r="B124" t="s">
        <v>1260</v>
      </c>
      <c r="C124" s="7" t="s">
        <v>1386</v>
      </c>
      <c r="D124" t="s">
        <v>1264</v>
      </c>
      <c r="E124" s="7" t="s">
        <v>1382</v>
      </c>
      <c r="F124" t="s">
        <v>647</v>
      </c>
    </row>
    <row r="125" spans="1:6">
      <c r="A125" t="s">
        <v>1377</v>
      </c>
      <c r="B125" t="s">
        <v>1260</v>
      </c>
      <c r="C125" s="7" t="s">
        <v>1349</v>
      </c>
      <c r="D125" t="s">
        <v>164</v>
      </c>
      <c r="E125" t="s">
        <v>1387</v>
      </c>
      <c r="F125" t="s">
        <v>337</v>
      </c>
    </row>
    <row r="126" spans="1:6">
      <c r="A126" t="s">
        <v>1377</v>
      </c>
      <c r="B126" t="s">
        <v>1260</v>
      </c>
      <c r="C126" s="7" t="s">
        <v>1388</v>
      </c>
      <c r="D126" t="s">
        <v>1264</v>
      </c>
      <c r="E126" s="7" t="s">
        <v>1387</v>
      </c>
      <c r="F126" t="s">
        <v>337</v>
      </c>
    </row>
    <row r="127" spans="1:6">
      <c r="A127" t="s">
        <v>1377</v>
      </c>
      <c r="B127" t="s">
        <v>1260</v>
      </c>
      <c r="C127" s="7" t="s">
        <v>1389</v>
      </c>
      <c r="D127" t="s">
        <v>1264</v>
      </c>
      <c r="E127" s="7" t="s">
        <v>1387</v>
      </c>
      <c r="F127" t="s">
        <v>337</v>
      </c>
    </row>
    <row r="128" spans="1:6">
      <c r="A128" t="s">
        <v>1377</v>
      </c>
      <c r="B128" t="s">
        <v>1260</v>
      </c>
      <c r="C128" s="7" t="s">
        <v>1390</v>
      </c>
      <c r="D128" t="s">
        <v>1264</v>
      </c>
      <c r="E128" s="7" t="s">
        <v>1387</v>
      </c>
      <c r="F128" t="s">
        <v>337</v>
      </c>
    </row>
    <row r="129" spans="1:6">
      <c r="A129" t="s">
        <v>1377</v>
      </c>
      <c r="B129" t="s">
        <v>1260</v>
      </c>
      <c r="C129" s="7" t="s">
        <v>1374</v>
      </c>
      <c r="D129" t="s">
        <v>164</v>
      </c>
      <c r="E129" t="s">
        <v>1391</v>
      </c>
      <c r="F129" t="s">
        <v>647</v>
      </c>
    </row>
    <row r="130" spans="1:6">
      <c r="A130" t="s">
        <v>1377</v>
      </c>
      <c r="B130" t="s">
        <v>1260</v>
      </c>
      <c r="C130" s="7" t="s">
        <v>1392</v>
      </c>
      <c r="D130" t="s">
        <v>1264</v>
      </c>
      <c r="E130" s="7" t="s">
        <v>1391</v>
      </c>
      <c r="F130" t="s">
        <v>647</v>
      </c>
    </row>
    <row r="131" spans="1:6">
      <c r="A131" t="s">
        <v>1377</v>
      </c>
      <c r="B131" t="s">
        <v>1260</v>
      </c>
      <c r="C131" s="7" t="s">
        <v>1393</v>
      </c>
      <c r="D131" t="s">
        <v>1264</v>
      </c>
      <c r="E131" s="7" t="s">
        <v>1391</v>
      </c>
      <c r="F131" t="s">
        <v>647</v>
      </c>
    </row>
    <row r="132" spans="1:6">
      <c r="A132" t="s">
        <v>1377</v>
      </c>
      <c r="B132" t="s">
        <v>1260</v>
      </c>
      <c r="C132" s="7" t="s">
        <v>1394</v>
      </c>
      <c r="D132" t="s">
        <v>1264</v>
      </c>
      <c r="E132" s="7" t="s">
        <v>1391</v>
      </c>
      <c r="F132" t="s">
        <v>647</v>
      </c>
    </row>
    <row r="133" spans="1:6">
      <c r="A133" t="s">
        <v>1377</v>
      </c>
      <c r="B133" t="s">
        <v>1260</v>
      </c>
      <c r="C133" s="7" t="s">
        <v>1395</v>
      </c>
      <c r="D133" t="s">
        <v>1264</v>
      </c>
      <c r="E133" s="7" t="s">
        <v>1391</v>
      </c>
      <c r="F133" t="s">
        <v>647</v>
      </c>
    </row>
    <row r="134" spans="1:6">
      <c r="A134" t="s">
        <v>1396</v>
      </c>
      <c r="B134" t="s">
        <v>1260</v>
      </c>
      <c r="C134" t="s">
        <v>1385</v>
      </c>
      <c r="D134" t="s">
        <v>164</v>
      </c>
      <c r="E134" t="s">
        <v>1397</v>
      </c>
      <c r="F134" t="s">
        <v>647</v>
      </c>
    </row>
    <row r="135" spans="1:6">
      <c r="A135" t="s">
        <v>1396</v>
      </c>
      <c r="B135" t="s">
        <v>1260</v>
      </c>
      <c r="C135" s="7" t="s">
        <v>1398</v>
      </c>
      <c r="D135" t="s">
        <v>1264</v>
      </c>
      <c r="E135" s="7" t="s">
        <v>1397</v>
      </c>
      <c r="F135" t="s">
        <v>647</v>
      </c>
    </row>
    <row r="136" spans="1:6">
      <c r="A136" t="s">
        <v>1396</v>
      </c>
      <c r="B136" t="s">
        <v>1260</v>
      </c>
      <c r="C136" s="7" t="s">
        <v>1399</v>
      </c>
      <c r="D136" t="s">
        <v>1264</v>
      </c>
      <c r="E136" s="7" t="s">
        <v>1397</v>
      </c>
      <c r="F136" t="s">
        <v>647</v>
      </c>
    </row>
    <row r="137" spans="1:6">
      <c r="A137" t="s">
        <v>1396</v>
      </c>
      <c r="B137" t="s">
        <v>1260</v>
      </c>
      <c r="C137" s="7" t="s">
        <v>1400</v>
      </c>
      <c r="D137" t="s">
        <v>1264</v>
      </c>
      <c r="E137" s="7" t="s">
        <v>1397</v>
      </c>
      <c r="F137" t="s">
        <v>647</v>
      </c>
    </row>
    <row r="138" spans="1:6">
      <c r="A138" t="s">
        <v>1396</v>
      </c>
      <c r="B138" t="s">
        <v>1260</v>
      </c>
      <c r="C138" t="s">
        <v>1394</v>
      </c>
      <c r="D138" t="s">
        <v>164</v>
      </c>
      <c r="E138" t="s">
        <v>1401</v>
      </c>
      <c r="F138" t="s">
        <v>337</v>
      </c>
    </row>
    <row r="139" spans="1:6">
      <c r="A139" t="s">
        <v>1396</v>
      </c>
      <c r="B139" t="s">
        <v>1260</v>
      </c>
      <c r="C139" s="7" t="s">
        <v>980</v>
      </c>
      <c r="D139" t="s">
        <v>1264</v>
      </c>
      <c r="E139" s="7" t="s">
        <v>1401</v>
      </c>
      <c r="F139" t="s">
        <v>337</v>
      </c>
    </row>
    <row r="140" spans="1:6">
      <c r="A140" t="s">
        <v>1396</v>
      </c>
      <c r="B140" t="s">
        <v>1260</v>
      </c>
      <c r="C140" s="7" t="s">
        <v>1402</v>
      </c>
      <c r="D140" t="s">
        <v>1264</v>
      </c>
      <c r="E140" s="7" t="s">
        <v>1401</v>
      </c>
      <c r="F140" t="s">
        <v>337</v>
      </c>
    </row>
    <row r="141" spans="1:6">
      <c r="A141" t="s">
        <v>1396</v>
      </c>
      <c r="B141" t="s">
        <v>1260</v>
      </c>
      <c r="C141" s="7" t="s">
        <v>1403</v>
      </c>
      <c r="D141" t="s">
        <v>1264</v>
      </c>
      <c r="E141" s="7" t="s">
        <v>1401</v>
      </c>
      <c r="F141" t="s">
        <v>337</v>
      </c>
    </row>
    <row r="142" spans="1:6">
      <c r="A142" t="s">
        <v>1396</v>
      </c>
      <c r="B142" t="s">
        <v>1260</v>
      </c>
      <c r="C142" s="7" t="s">
        <v>1195</v>
      </c>
      <c r="D142" t="s">
        <v>1264</v>
      </c>
      <c r="E142" s="7" t="s">
        <v>1401</v>
      </c>
      <c r="F142" t="s">
        <v>337</v>
      </c>
    </row>
    <row r="143" spans="1:6">
      <c r="A143">
        <v>2022</v>
      </c>
      <c r="B143" t="s">
        <v>1260</v>
      </c>
      <c r="C143" s="7" t="s">
        <v>1404</v>
      </c>
      <c r="D143" t="s">
        <v>1264</v>
      </c>
      <c r="E143" s="7" t="s">
        <v>1405</v>
      </c>
      <c r="F143" t="s">
        <v>337</v>
      </c>
    </row>
    <row r="144" spans="1:6">
      <c r="A144">
        <v>2022</v>
      </c>
      <c r="B144" t="s">
        <v>1260</v>
      </c>
      <c r="C144" s="7" t="s">
        <v>1406</v>
      </c>
      <c r="D144" t="s">
        <v>1264</v>
      </c>
      <c r="E144" s="7" t="s">
        <v>1405</v>
      </c>
      <c r="F144" t="s">
        <v>337</v>
      </c>
    </row>
    <row r="145" spans="1:6">
      <c r="A145">
        <v>2022</v>
      </c>
      <c r="B145" t="s">
        <v>1260</v>
      </c>
      <c r="C145" s="7" t="s">
        <v>1407</v>
      </c>
      <c r="D145" t="s">
        <v>1264</v>
      </c>
      <c r="E145" s="7" t="s">
        <v>1405</v>
      </c>
      <c r="F145" t="s">
        <v>337</v>
      </c>
    </row>
    <row r="146" spans="1:6">
      <c r="A146">
        <v>2022</v>
      </c>
      <c r="B146" t="s">
        <v>1260</v>
      </c>
      <c r="C146" s="7" t="s">
        <v>1408</v>
      </c>
      <c r="D146" t="s">
        <v>1264</v>
      </c>
      <c r="E146" s="7" t="s">
        <v>1405</v>
      </c>
      <c r="F146" t="s">
        <v>337</v>
      </c>
    </row>
    <row r="147" spans="1:6">
      <c r="A147">
        <v>2022</v>
      </c>
      <c r="B147" t="s">
        <v>1260</v>
      </c>
      <c r="C147" s="7" t="s">
        <v>1409</v>
      </c>
      <c r="D147" t="s">
        <v>1264</v>
      </c>
      <c r="E147" s="7" t="s">
        <v>1410</v>
      </c>
      <c r="F147" t="s">
        <v>337</v>
      </c>
    </row>
    <row r="148" spans="1:6">
      <c r="A148">
        <v>2022</v>
      </c>
      <c r="B148" t="s">
        <v>1260</v>
      </c>
      <c r="C148" s="7" t="s">
        <v>1411</v>
      </c>
      <c r="D148" t="s">
        <v>1264</v>
      </c>
      <c r="E148" s="7" t="s">
        <v>1410</v>
      </c>
      <c r="F148" t="s">
        <v>337</v>
      </c>
    </row>
    <row r="149" spans="1:6">
      <c r="A149">
        <v>2023</v>
      </c>
      <c r="B149" t="s">
        <v>1260</v>
      </c>
      <c r="C149" s="7" t="s">
        <v>1412</v>
      </c>
      <c r="D149" t="s">
        <v>1264</v>
      </c>
      <c r="E149" s="7" t="s">
        <v>1413</v>
      </c>
      <c r="F149" t="s">
        <v>337</v>
      </c>
    </row>
    <row r="150" spans="1:6">
      <c r="A150">
        <v>2023</v>
      </c>
      <c r="B150" t="s">
        <v>1260</v>
      </c>
      <c r="C150" s="7" t="s">
        <v>1414</v>
      </c>
      <c r="D150" t="s">
        <v>1264</v>
      </c>
      <c r="E150" s="7" t="s">
        <v>1413</v>
      </c>
      <c r="F150" t="s">
        <v>337</v>
      </c>
    </row>
    <row r="151" spans="1:6">
      <c r="A151">
        <v>2023</v>
      </c>
      <c r="B151" t="s">
        <v>1260</v>
      </c>
      <c r="C151" s="7" t="s">
        <v>1415</v>
      </c>
      <c r="D151" t="s">
        <v>1264</v>
      </c>
      <c r="E151" s="7" t="s">
        <v>1416</v>
      </c>
      <c r="F151" t="s">
        <v>337</v>
      </c>
    </row>
    <row r="152" spans="1:6">
      <c r="A152">
        <v>2023</v>
      </c>
      <c r="B152" t="s">
        <v>1260</v>
      </c>
      <c r="C152" s="7" t="s">
        <v>1417</v>
      </c>
      <c r="D152" t="s">
        <v>1264</v>
      </c>
      <c r="E152" s="7" t="s">
        <v>1418</v>
      </c>
      <c r="F152" t="s">
        <v>337</v>
      </c>
    </row>
    <row r="153" spans="1:6">
      <c r="A153">
        <v>2023</v>
      </c>
      <c r="B153" t="s">
        <v>1260</v>
      </c>
      <c r="C153" s="7" t="s">
        <v>1419</v>
      </c>
      <c r="D153" t="s">
        <v>1264</v>
      </c>
      <c r="E153" s="7" t="s">
        <v>1420</v>
      </c>
      <c r="F153" t="s">
        <v>337</v>
      </c>
    </row>
    <row r="154" spans="1:6">
      <c r="A154">
        <v>2024</v>
      </c>
      <c r="B154" t="s">
        <v>1260</v>
      </c>
      <c r="C154" s="7" t="s">
        <v>1421</v>
      </c>
      <c r="D154" t="s">
        <v>1264</v>
      </c>
      <c r="E154" s="7" t="s">
        <v>1422</v>
      </c>
      <c r="F154" t="s">
        <v>337</v>
      </c>
    </row>
    <row r="155" spans="1:6">
      <c r="A155">
        <v>2024</v>
      </c>
      <c r="B155" t="s">
        <v>1260</v>
      </c>
      <c r="C155" s="7" t="s">
        <v>1423</v>
      </c>
      <c r="D155" t="s">
        <v>1264</v>
      </c>
      <c r="E155" s="7" t="s">
        <v>1424</v>
      </c>
      <c r="F155" t="s">
        <v>337</v>
      </c>
    </row>
    <row r="156" spans="1:6">
      <c r="A156">
        <v>2024</v>
      </c>
      <c r="B156" t="s">
        <v>1260</v>
      </c>
      <c r="C156" s="7" t="s">
        <v>1425</v>
      </c>
      <c r="D156" t="s">
        <v>1264</v>
      </c>
      <c r="E156" s="7" t="s">
        <v>1426</v>
      </c>
      <c r="F156" t="s">
        <v>337</v>
      </c>
    </row>
    <row r="157" spans="1:6">
      <c r="A157">
        <v>2024</v>
      </c>
      <c r="B157" t="s">
        <v>1260</v>
      </c>
      <c r="C157" s="7" t="s">
        <v>1427</v>
      </c>
      <c r="D157" t="s">
        <v>1264</v>
      </c>
      <c r="E157" s="7" t="s">
        <v>1426</v>
      </c>
      <c r="F157" t="s">
        <v>337</v>
      </c>
    </row>
    <row r="158" spans="1:6">
      <c r="A158">
        <v>2024</v>
      </c>
      <c r="B158" t="s">
        <v>1260</v>
      </c>
      <c r="C158" s="7" t="s">
        <v>1428</v>
      </c>
      <c r="D158" t="s">
        <v>1264</v>
      </c>
      <c r="E158" s="7" t="s">
        <v>1429</v>
      </c>
      <c r="F158" t="s">
        <v>337</v>
      </c>
    </row>
    <row r="159" spans="1:6">
      <c r="A159">
        <v>2024</v>
      </c>
      <c r="B159" t="s">
        <v>1260</v>
      </c>
      <c r="C159" s="7" t="s">
        <v>1430</v>
      </c>
      <c r="D159" t="s">
        <v>1264</v>
      </c>
      <c r="E159" s="7" t="s">
        <v>1431</v>
      </c>
      <c r="F159" t="s">
        <v>337</v>
      </c>
    </row>
    <row r="160" spans="1:6">
      <c r="A160">
        <v>2024</v>
      </c>
      <c r="B160" t="s">
        <v>1260</v>
      </c>
      <c r="C160" s="7" t="s">
        <v>1432</v>
      </c>
      <c r="D160" t="s">
        <v>1264</v>
      </c>
      <c r="E160" s="7" t="s">
        <v>1431</v>
      </c>
      <c r="F160" t="s">
        <v>337</v>
      </c>
    </row>
    <row r="161" spans="1:6">
      <c r="A161">
        <v>2024</v>
      </c>
      <c r="B161" t="s">
        <v>1260</v>
      </c>
      <c r="C161" s="7" t="s">
        <v>1433</v>
      </c>
      <c r="D161" t="s">
        <v>1264</v>
      </c>
      <c r="E161" s="7" t="s">
        <v>1434</v>
      </c>
      <c r="F161" t="s">
        <v>337</v>
      </c>
    </row>
    <row r="162" spans="1:6">
      <c r="A162">
        <v>2025</v>
      </c>
      <c r="B162" t="s">
        <v>1260</v>
      </c>
      <c r="C162" s="7" t="s">
        <v>1435</v>
      </c>
      <c r="D162" t="s">
        <v>1264</v>
      </c>
      <c r="E162" s="7" t="s">
        <v>1436</v>
      </c>
      <c r="F162" t="s">
        <v>337</v>
      </c>
    </row>
    <row r="163" spans="1:6">
      <c r="A163">
        <v>2025</v>
      </c>
      <c r="B163" t="s">
        <v>1260</v>
      </c>
      <c r="C163" s="7" t="s">
        <v>1437</v>
      </c>
      <c r="D163" t="s">
        <v>1264</v>
      </c>
      <c r="E163" s="7" t="s">
        <v>1438</v>
      </c>
      <c r="F163" t="s">
        <v>337</v>
      </c>
    </row>
    <row r="164" spans="1:6">
      <c r="A164">
        <v>2025</v>
      </c>
      <c r="B164" t="s">
        <v>1260</v>
      </c>
      <c r="C164" s="7" t="s">
        <v>1439</v>
      </c>
      <c r="D164" t="s">
        <v>1264</v>
      </c>
      <c r="E164" s="7" t="s">
        <v>1440</v>
      </c>
      <c r="F164" t="s">
        <v>337</v>
      </c>
    </row>
    <row r="165" spans="1:6">
      <c r="A165">
        <v>2025</v>
      </c>
      <c r="B165" t="s">
        <v>1260</v>
      </c>
      <c r="C165" s="7" t="s">
        <v>1441</v>
      </c>
      <c r="D165" t="s">
        <v>1264</v>
      </c>
      <c r="E165" s="7" t="s">
        <v>1422</v>
      </c>
      <c r="F165" t="s">
        <v>337</v>
      </c>
    </row>
    <row r="166" spans="1:6">
      <c r="A166">
        <v>2025</v>
      </c>
      <c r="B166" t="s">
        <v>1260</v>
      </c>
      <c r="C166" s="7" t="s">
        <v>1442</v>
      </c>
      <c r="D166" t="s">
        <v>1264</v>
      </c>
      <c r="E166" s="7" t="s">
        <v>1144</v>
      </c>
      <c r="F166" t="s">
        <v>337</v>
      </c>
    </row>
    <row r="167" spans="1:6">
      <c r="A167">
        <v>2025</v>
      </c>
      <c r="B167" t="s">
        <v>1260</v>
      </c>
      <c r="C167" s="7" t="s">
        <v>1443</v>
      </c>
      <c r="D167" t="s">
        <v>1264</v>
      </c>
      <c r="E167" s="7" t="s">
        <v>1422</v>
      </c>
      <c r="F167" t="s">
        <v>337</v>
      </c>
    </row>
    <row r="168" spans="1:6">
      <c r="A168">
        <v>2026</v>
      </c>
      <c r="B168" t="s">
        <v>1260</v>
      </c>
      <c r="C168" s="7" t="s">
        <v>1444</v>
      </c>
      <c r="D168" t="s">
        <v>1264</v>
      </c>
      <c r="E168" s="7" t="s">
        <v>1445</v>
      </c>
      <c r="F168" t="s">
        <v>337</v>
      </c>
    </row>
    <row r="169" spans="1:6">
      <c r="A169">
        <v>2026</v>
      </c>
      <c r="B169" t="s">
        <v>1260</v>
      </c>
      <c r="C169" s="7" t="s">
        <v>1446</v>
      </c>
      <c r="D169" t="s">
        <v>1264</v>
      </c>
      <c r="E169" s="7" t="s">
        <v>1447</v>
      </c>
      <c r="F169" t="s">
        <v>337</v>
      </c>
    </row>
    <row r="170" spans="1:6">
      <c r="A170">
        <v>2026</v>
      </c>
      <c r="B170" t="s">
        <v>1260</v>
      </c>
      <c r="C170" s="7" t="s">
        <v>1448</v>
      </c>
      <c r="D170" t="s">
        <v>1264</v>
      </c>
      <c r="E170" s="7" t="s">
        <v>1449</v>
      </c>
      <c r="F170" t="s">
        <v>337</v>
      </c>
    </row>
    <row r="171" spans="1:6">
      <c r="A171">
        <v>2026</v>
      </c>
      <c r="B171" t="s">
        <v>1260</v>
      </c>
      <c r="C171" s="9" t="s">
        <v>1450</v>
      </c>
      <c r="D171" t="s">
        <v>1264</v>
      </c>
      <c r="E171" s="9" t="s">
        <v>1451</v>
      </c>
      <c r="F171" t="s">
        <v>337</v>
      </c>
    </row>
    <row r="172" spans="1:6">
      <c r="A172">
        <v>2026</v>
      </c>
      <c r="B172" t="s">
        <v>1260</v>
      </c>
      <c r="C172" s="9" t="s">
        <v>1452</v>
      </c>
      <c r="D172" t="s">
        <v>1264</v>
      </c>
      <c r="E172" s="9" t="s">
        <v>1451</v>
      </c>
      <c r="F172" t="s">
        <v>337</v>
      </c>
    </row>
    <row r="173" spans="1:6">
      <c r="A173">
        <v>2026</v>
      </c>
      <c r="B173" t="s">
        <v>1260</v>
      </c>
      <c r="C173" s="9" t="s">
        <v>1453</v>
      </c>
      <c r="D173" t="s">
        <v>1264</v>
      </c>
      <c r="E173" s="9" t="s">
        <v>1454</v>
      </c>
      <c r="F173" t="s">
        <v>337</v>
      </c>
    </row>
    <row r="174" spans="1:6">
      <c r="A174">
        <v>2026</v>
      </c>
      <c r="B174" t="s">
        <v>1260</v>
      </c>
      <c r="C174" s="7" t="s">
        <v>1455</v>
      </c>
      <c r="D174" t="s">
        <v>1264</v>
      </c>
      <c r="E174" s="7" t="s">
        <v>1456</v>
      </c>
      <c r="F174" t="s">
        <v>337</v>
      </c>
    </row>
    <row r="175" spans="1:6">
      <c r="A175">
        <v>2026</v>
      </c>
      <c r="B175" t="s">
        <v>1260</v>
      </c>
      <c r="C175" s="7" t="s">
        <v>1457</v>
      </c>
      <c r="D175" t="s">
        <v>1264</v>
      </c>
      <c r="E175" s="7" t="s">
        <v>1458</v>
      </c>
      <c r="F175" t="s">
        <v>337</v>
      </c>
    </row>
  </sheetData>
  <sortState xmlns:xlrd2="http://schemas.microsoft.com/office/spreadsheetml/2017/richdata2" ref="A2:F142">
    <sortCondition ref="A2:A142"/>
    <sortCondition ref="E2:E142"/>
    <sortCondition descending="1" ref="D2:D14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5613-49BF-4088-9435-10FFE957E547}">
  <dimension ref="A1:F280"/>
  <sheetViews>
    <sheetView topLeftCell="A252" workbookViewId="0">
      <selection activeCell="A174" sqref="A174:F280"/>
    </sheetView>
  </sheetViews>
  <sheetFormatPr defaultColWidth="8.85546875" defaultRowHeight="15"/>
  <cols>
    <col min="1" max="1" width="10.42578125" customWidth="1"/>
    <col min="3" max="3" width="24.42578125" customWidth="1"/>
    <col min="4" max="4" width="10.85546875" customWidth="1"/>
    <col min="5" max="5" width="19.42578125" customWidth="1"/>
  </cols>
  <sheetData>
    <row r="1" spans="1:6">
      <c r="A1" s="1" t="s">
        <v>11</v>
      </c>
      <c r="B1" s="1" t="s">
        <v>9</v>
      </c>
      <c r="C1" s="1" t="s">
        <v>12</v>
      </c>
      <c r="D1" s="1" t="s">
        <v>138</v>
      </c>
      <c r="E1" s="1" t="s">
        <v>139</v>
      </c>
      <c r="F1" s="1" t="s">
        <v>140</v>
      </c>
    </row>
    <row r="2" spans="1:6">
      <c r="A2" t="s">
        <v>1465</v>
      </c>
      <c r="B2" t="s">
        <v>1466</v>
      </c>
      <c r="C2" t="s">
        <v>947</v>
      </c>
      <c r="D2" t="s">
        <v>164</v>
      </c>
      <c r="E2" t="s">
        <v>981</v>
      </c>
      <c r="F2" t="s">
        <v>145</v>
      </c>
    </row>
    <row r="3" spans="1:6">
      <c r="A3" t="s">
        <v>1465</v>
      </c>
      <c r="B3" t="s">
        <v>1466</v>
      </c>
      <c r="C3" t="s">
        <v>982</v>
      </c>
      <c r="D3" t="s">
        <v>144</v>
      </c>
      <c r="E3" t="s">
        <v>981</v>
      </c>
      <c r="F3" t="s">
        <v>145</v>
      </c>
    </row>
    <row r="4" spans="1:6">
      <c r="A4" t="s">
        <v>1465</v>
      </c>
      <c r="B4" t="s">
        <v>1466</v>
      </c>
      <c r="C4" t="s">
        <v>983</v>
      </c>
      <c r="D4" t="s">
        <v>144</v>
      </c>
      <c r="E4" t="s">
        <v>981</v>
      </c>
      <c r="F4" t="s">
        <v>145</v>
      </c>
    </row>
    <row r="5" spans="1:6">
      <c r="A5" t="s">
        <v>1465</v>
      </c>
      <c r="B5" t="s">
        <v>1466</v>
      </c>
      <c r="C5" t="s">
        <v>984</v>
      </c>
      <c r="D5" t="s">
        <v>144</v>
      </c>
      <c r="E5" t="s">
        <v>981</v>
      </c>
      <c r="F5" t="s">
        <v>145</v>
      </c>
    </row>
    <row r="6" spans="1:6">
      <c r="A6" t="s">
        <v>1465</v>
      </c>
      <c r="B6" t="s">
        <v>1466</v>
      </c>
      <c r="C6" t="s">
        <v>985</v>
      </c>
      <c r="D6" t="s">
        <v>144</v>
      </c>
      <c r="E6" t="s">
        <v>981</v>
      </c>
      <c r="F6" t="s">
        <v>145</v>
      </c>
    </row>
    <row r="7" spans="1:6">
      <c r="A7" t="s">
        <v>1465</v>
      </c>
      <c r="B7" t="s">
        <v>1466</v>
      </c>
      <c r="C7" t="s">
        <v>986</v>
      </c>
      <c r="D7" t="s">
        <v>144</v>
      </c>
      <c r="E7" t="s">
        <v>981</v>
      </c>
      <c r="F7" t="s">
        <v>145</v>
      </c>
    </row>
    <row r="8" spans="1:6">
      <c r="A8" t="s">
        <v>1465</v>
      </c>
      <c r="B8" t="s">
        <v>535</v>
      </c>
      <c r="C8" t="s">
        <v>987</v>
      </c>
      <c r="D8" t="s">
        <v>164</v>
      </c>
      <c r="E8" t="s">
        <v>981</v>
      </c>
      <c r="F8" t="s">
        <v>145</v>
      </c>
    </row>
    <row r="9" spans="1:6">
      <c r="A9" t="s">
        <v>1465</v>
      </c>
      <c r="B9" t="s">
        <v>535</v>
      </c>
      <c r="C9" t="s">
        <v>988</v>
      </c>
      <c r="D9" t="s">
        <v>144</v>
      </c>
      <c r="E9" t="s">
        <v>981</v>
      </c>
      <c r="F9" t="s">
        <v>145</v>
      </c>
    </row>
    <row r="10" spans="1:6">
      <c r="A10" t="s">
        <v>1465</v>
      </c>
      <c r="B10" t="s">
        <v>535</v>
      </c>
      <c r="C10" t="s">
        <v>989</v>
      </c>
      <c r="D10" t="s">
        <v>144</v>
      </c>
      <c r="E10" t="s">
        <v>981</v>
      </c>
      <c r="F10" t="s">
        <v>145</v>
      </c>
    </row>
    <row r="11" spans="1:6">
      <c r="A11" t="s">
        <v>1465</v>
      </c>
      <c r="B11" t="s">
        <v>535</v>
      </c>
      <c r="C11" t="s">
        <v>990</v>
      </c>
      <c r="D11" t="s">
        <v>144</v>
      </c>
      <c r="E11" t="s">
        <v>981</v>
      </c>
      <c r="F11" t="s">
        <v>145</v>
      </c>
    </row>
    <row r="12" spans="1:6">
      <c r="A12" t="s">
        <v>1465</v>
      </c>
      <c r="B12" t="s">
        <v>535</v>
      </c>
      <c r="C12" t="s">
        <v>991</v>
      </c>
      <c r="D12" t="s">
        <v>144</v>
      </c>
      <c r="E12" t="s">
        <v>981</v>
      </c>
      <c r="F12" t="s">
        <v>145</v>
      </c>
    </row>
    <row r="13" spans="1:6">
      <c r="A13" t="s">
        <v>1465</v>
      </c>
      <c r="B13" t="s">
        <v>535</v>
      </c>
      <c r="C13" t="s">
        <v>992</v>
      </c>
      <c r="D13" t="s">
        <v>144</v>
      </c>
      <c r="E13" t="s">
        <v>981</v>
      </c>
      <c r="F13" t="s">
        <v>145</v>
      </c>
    </row>
    <row r="14" spans="1:6">
      <c r="A14" t="s">
        <v>1465</v>
      </c>
      <c r="B14" t="s">
        <v>384</v>
      </c>
      <c r="C14" t="s">
        <v>964</v>
      </c>
      <c r="D14" t="s">
        <v>164</v>
      </c>
      <c r="F14" t="s">
        <v>145</v>
      </c>
    </row>
    <row r="15" spans="1:6">
      <c r="A15" t="s">
        <v>1465</v>
      </c>
      <c r="B15" t="s">
        <v>384</v>
      </c>
      <c r="C15" t="s">
        <v>993</v>
      </c>
      <c r="D15" t="s">
        <v>144</v>
      </c>
      <c r="E15" t="s">
        <v>994</v>
      </c>
      <c r="F15" t="s">
        <v>145</v>
      </c>
    </row>
    <row r="16" spans="1:6">
      <c r="A16" t="s">
        <v>1465</v>
      </c>
      <c r="B16" t="s">
        <v>384</v>
      </c>
      <c r="C16" t="s">
        <v>995</v>
      </c>
      <c r="D16" t="s">
        <v>144</v>
      </c>
      <c r="E16" t="s">
        <v>996</v>
      </c>
      <c r="F16" t="s">
        <v>145</v>
      </c>
    </row>
    <row r="17" spans="1:6">
      <c r="A17" t="s">
        <v>1465</v>
      </c>
      <c r="B17" t="s">
        <v>384</v>
      </c>
      <c r="C17" t="s">
        <v>997</v>
      </c>
      <c r="D17" t="s">
        <v>144</v>
      </c>
      <c r="E17" t="s">
        <v>998</v>
      </c>
      <c r="F17" t="s">
        <v>145</v>
      </c>
    </row>
    <row r="18" spans="1:6">
      <c r="A18" t="s">
        <v>1465</v>
      </c>
      <c r="B18" t="s">
        <v>384</v>
      </c>
      <c r="C18" t="s">
        <v>999</v>
      </c>
      <c r="D18" t="s">
        <v>144</v>
      </c>
      <c r="E18" t="s">
        <v>1000</v>
      </c>
      <c r="F18" t="s">
        <v>145</v>
      </c>
    </row>
    <row r="19" spans="1:6">
      <c r="A19" t="s">
        <v>1465</v>
      </c>
      <c r="B19" t="s">
        <v>1467</v>
      </c>
      <c r="C19" t="s">
        <v>961</v>
      </c>
      <c r="D19" t="s">
        <v>164</v>
      </c>
      <c r="E19" t="s">
        <v>1001</v>
      </c>
      <c r="F19" t="s">
        <v>145</v>
      </c>
    </row>
    <row r="20" spans="1:6">
      <c r="A20" t="s">
        <v>1465</v>
      </c>
      <c r="B20" t="s">
        <v>1467</v>
      </c>
      <c r="C20" t="s">
        <v>1002</v>
      </c>
      <c r="D20" t="s">
        <v>144</v>
      </c>
      <c r="E20" t="s">
        <v>1001</v>
      </c>
      <c r="F20" t="s">
        <v>145</v>
      </c>
    </row>
    <row r="21" spans="1:6">
      <c r="A21" t="s">
        <v>1465</v>
      </c>
      <c r="B21" t="s">
        <v>1467</v>
      </c>
      <c r="C21" t="s">
        <v>1003</v>
      </c>
      <c r="D21" t="s">
        <v>144</v>
      </c>
      <c r="E21" t="s">
        <v>1001</v>
      </c>
      <c r="F21" t="s">
        <v>145</v>
      </c>
    </row>
    <row r="22" spans="1:6">
      <c r="A22" t="s">
        <v>1465</v>
      </c>
      <c r="B22" t="s">
        <v>1467</v>
      </c>
      <c r="C22" t="s">
        <v>1004</v>
      </c>
      <c r="D22" t="s">
        <v>144</v>
      </c>
      <c r="E22" t="s">
        <v>1001</v>
      </c>
      <c r="F22" t="s">
        <v>145</v>
      </c>
    </row>
    <row r="23" spans="1:6">
      <c r="A23" t="s">
        <v>1465</v>
      </c>
      <c r="B23" t="s">
        <v>1467</v>
      </c>
      <c r="C23" t="s">
        <v>1005</v>
      </c>
      <c r="D23" t="s">
        <v>144</v>
      </c>
      <c r="E23" t="s">
        <v>1001</v>
      </c>
      <c r="F23" t="s">
        <v>145</v>
      </c>
    </row>
    <row r="24" spans="1:6">
      <c r="A24" t="s">
        <v>1465</v>
      </c>
      <c r="B24" t="s">
        <v>1124</v>
      </c>
      <c r="C24" t="s">
        <v>109</v>
      </c>
      <c r="D24" t="s">
        <v>164</v>
      </c>
      <c r="E24" t="s">
        <v>1006</v>
      </c>
      <c r="F24" t="s">
        <v>145</v>
      </c>
    </row>
    <row r="25" spans="1:6">
      <c r="A25" t="s">
        <v>1465</v>
      </c>
      <c r="B25" t="s">
        <v>1124</v>
      </c>
      <c r="C25" t="s">
        <v>117</v>
      </c>
      <c r="D25" t="s">
        <v>144</v>
      </c>
      <c r="E25" t="s">
        <v>1006</v>
      </c>
      <c r="F25" t="s">
        <v>145</v>
      </c>
    </row>
    <row r="26" spans="1:6">
      <c r="A26" t="s">
        <v>1465</v>
      </c>
      <c r="B26" t="s">
        <v>1124</v>
      </c>
      <c r="C26" t="s">
        <v>121</v>
      </c>
      <c r="D26" t="s">
        <v>144</v>
      </c>
      <c r="E26" t="s">
        <v>1006</v>
      </c>
      <c r="F26" t="s">
        <v>145</v>
      </c>
    </row>
    <row r="27" spans="1:6">
      <c r="A27" t="s">
        <v>1465</v>
      </c>
      <c r="B27" t="s">
        <v>1124</v>
      </c>
      <c r="C27" t="s">
        <v>123</v>
      </c>
      <c r="D27" t="s">
        <v>144</v>
      </c>
      <c r="E27" t="s">
        <v>1006</v>
      </c>
      <c r="F27" t="s">
        <v>145</v>
      </c>
    </row>
    <row r="28" spans="1:6">
      <c r="A28" t="s">
        <v>1465</v>
      </c>
      <c r="B28" t="s">
        <v>1124</v>
      </c>
      <c r="C28" t="s">
        <v>122</v>
      </c>
      <c r="D28" t="s">
        <v>144</v>
      </c>
      <c r="E28" t="s">
        <v>1006</v>
      </c>
      <c r="F28" t="s">
        <v>145</v>
      </c>
    </row>
    <row r="29" spans="1:6">
      <c r="A29" t="s">
        <v>1465</v>
      </c>
      <c r="B29" t="s">
        <v>647</v>
      </c>
      <c r="C29" t="s">
        <v>954</v>
      </c>
      <c r="D29" t="s">
        <v>164</v>
      </c>
      <c r="E29" t="s">
        <v>1007</v>
      </c>
      <c r="F29" t="s">
        <v>647</v>
      </c>
    </row>
    <row r="30" spans="1:6">
      <c r="A30" t="s">
        <v>1465</v>
      </c>
      <c r="B30" t="s">
        <v>647</v>
      </c>
      <c r="C30" t="s">
        <v>1008</v>
      </c>
      <c r="D30" t="s">
        <v>144</v>
      </c>
      <c r="E30" t="s">
        <v>1007</v>
      </c>
      <c r="F30" t="s">
        <v>647</v>
      </c>
    </row>
    <row r="31" spans="1:6">
      <c r="A31" t="s">
        <v>1465</v>
      </c>
      <c r="B31" t="s">
        <v>647</v>
      </c>
      <c r="C31" t="s">
        <v>1009</v>
      </c>
      <c r="D31" t="s">
        <v>144</v>
      </c>
      <c r="E31" t="s">
        <v>1007</v>
      </c>
      <c r="F31" t="s">
        <v>647</v>
      </c>
    </row>
    <row r="32" spans="1:6">
      <c r="A32" t="s">
        <v>1465</v>
      </c>
      <c r="B32" t="s">
        <v>647</v>
      </c>
      <c r="C32" t="s">
        <v>1010</v>
      </c>
      <c r="D32" t="s">
        <v>144</v>
      </c>
      <c r="E32" t="s">
        <v>1007</v>
      </c>
      <c r="F32" t="s">
        <v>647</v>
      </c>
    </row>
    <row r="33" spans="1:6">
      <c r="A33" t="s">
        <v>1465</v>
      </c>
      <c r="B33" t="s">
        <v>647</v>
      </c>
      <c r="C33" t="s">
        <v>968</v>
      </c>
      <c r="D33" t="s">
        <v>164</v>
      </c>
      <c r="E33" t="s">
        <v>1011</v>
      </c>
      <c r="F33" t="s">
        <v>647</v>
      </c>
    </row>
    <row r="34" spans="1:6">
      <c r="A34" t="s">
        <v>1465</v>
      </c>
      <c r="B34" t="s">
        <v>647</v>
      </c>
      <c r="C34" t="s">
        <v>1012</v>
      </c>
      <c r="D34" t="s">
        <v>144</v>
      </c>
      <c r="E34" t="s">
        <v>1011</v>
      </c>
      <c r="F34" t="s">
        <v>647</v>
      </c>
    </row>
    <row r="35" spans="1:6">
      <c r="A35" t="s">
        <v>1465</v>
      </c>
      <c r="B35" t="s">
        <v>647</v>
      </c>
      <c r="C35" t="s">
        <v>1013</v>
      </c>
      <c r="D35" t="s">
        <v>144</v>
      </c>
      <c r="E35" t="s">
        <v>1011</v>
      </c>
      <c r="F35" t="s">
        <v>647</v>
      </c>
    </row>
    <row r="36" spans="1:6">
      <c r="A36" t="s">
        <v>1465</v>
      </c>
      <c r="B36" t="s">
        <v>647</v>
      </c>
      <c r="C36" t="s">
        <v>1014</v>
      </c>
      <c r="D36" t="s">
        <v>144</v>
      </c>
      <c r="E36" t="s">
        <v>1011</v>
      </c>
      <c r="F36" t="s">
        <v>647</v>
      </c>
    </row>
    <row r="37" spans="1:6">
      <c r="A37" t="s">
        <v>1465</v>
      </c>
      <c r="B37" t="s">
        <v>647</v>
      </c>
      <c r="C37" t="s">
        <v>1015</v>
      </c>
      <c r="D37" t="s">
        <v>144</v>
      </c>
      <c r="E37" t="s">
        <v>1011</v>
      </c>
      <c r="F37" t="s">
        <v>647</v>
      </c>
    </row>
    <row r="38" spans="1:6">
      <c r="A38" t="s">
        <v>1465</v>
      </c>
      <c r="B38" t="s">
        <v>924</v>
      </c>
      <c r="C38" t="s">
        <v>1016</v>
      </c>
      <c r="D38" t="s">
        <v>144</v>
      </c>
    </row>
    <row r="39" spans="1:6">
      <c r="A39" t="s">
        <v>1465</v>
      </c>
      <c r="B39" t="s">
        <v>924</v>
      </c>
      <c r="C39" t="s">
        <v>1017</v>
      </c>
      <c r="D39" t="s">
        <v>144</v>
      </c>
    </row>
    <row r="40" spans="1:6">
      <c r="A40" t="s">
        <v>1465</v>
      </c>
      <c r="B40" t="s">
        <v>924</v>
      </c>
      <c r="C40" t="s">
        <v>1018</v>
      </c>
      <c r="D40" t="s">
        <v>144</v>
      </c>
    </row>
    <row r="41" spans="1:6">
      <c r="A41" t="s">
        <v>1465</v>
      </c>
      <c r="B41" t="s">
        <v>924</v>
      </c>
      <c r="C41" t="s">
        <v>969</v>
      </c>
      <c r="D41" t="s">
        <v>144</v>
      </c>
    </row>
    <row r="42" spans="1:6">
      <c r="A42" t="s">
        <v>1465</v>
      </c>
      <c r="B42" t="s">
        <v>924</v>
      </c>
      <c r="C42" t="s">
        <v>941</v>
      </c>
      <c r="D42" t="s">
        <v>144</v>
      </c>
    </row>
    <row r="43" spans="1:6">
      <c r="A43" t="s">
        <v>1465</v>
      </c>
      <c r="B43" t="s">
        <v>924</v>
      </c>
      <c r="C43" t="s">
        <v>942</v>
      </c>
      <c r="D43" t="s">
        <v>144</v>
      </c>
    </row>
    <row r="44" spans="1:6">
      <c r="A44" t="s">
        <v>1465</v>
      </c>
      <c r="B44" t="s">
        <v>158</v>
      </c>
      <c r="C44" t="s">
        <v>99</v>
      </c>
      <c r="D44" t="s">
        <v>217</v>
      </c>
    </row>
    <row r="45" spans="1:6">
      <c r="A45" t="s">
        <v>1465</v>
      </c>
      <c r="B45" t="s">
        <v>158</v>
      </c>
      <c r="C45" t="s">
        <v>980</v>
      </c>
      <c r="D45" t="s">
        <v>217</v>
      </c>
    </row>
    <row r="46" spans="1:6">
      <c r="A46" t="s">
        <v>1465</v>
      </c>
      <c r="B46" t="s">
        <v>158</v>
      </c>
      <c r="C46" t="s">
        <v>69</v>
      </c>
      <c r="D46" t="s">
        <v>1019</v>
      </c>
      <c r="F46" t="s">
        <v>145</v>
      </c>
    </row>
    <row r="47" spans="1:6">
      <c r="A47" t="s">
        <v>1465</v>
      </c>
      <c r="B47" t="s">
        <v>158</v>
      </c>
      <c r="C47" t="s">
        <v>257</v>
      </c>
      <c r="D47" t="s">
        <v>160</v>
      </c>
      <c r="F47" t="s">
        <v>145</v>
      </c>
    </row>
    <row r="48" spans="1:6">
      <c r="A48" t="s">
        <v>1465</v>
      </c>
      <c r="B48" t="s">
        <v>158</v>
      </c>
      <c r="C48" t="s">
        <v>887</v>
      </c>
      <c r="D48" t="s">
        <v>836</v>
      </c>
      <c r="F48" t="s">
        <v>337</v>
      </c>
    </row>
    <row r="49" spans="1:5">
      <c r="A49" t="s">
        <v>1468</v>
      </c>
      <c r="B49" t="s">
        <v>1466</v>
      </c>
      <c r="C49" t="s">
        <v>974</v>
      </c>
      <c r="D49" t="s">
        <v>164</v>
      </c>
      <c r="E49" t="s">
        <v>1020</v>
      </c>
    </row>
    <row r="50" spans="1:5">
      <c r="A50" t="s">
        <v>1468</v>
      </c>
      <c r="B50" t="s">
        <v>1466</v>
      </c>
      <c r="C50" t="s">
        <v>1021</v>
      </c>
      <c r="D50" t="s">
        <v>144</v>
      </c>
      <c r="E50" t="s">
        <v>1020</v>
      </c>
    </row>
    <row r="51" spans="1:5">
      <c r="A51" t="s">
        <v>1468</v>
      </c>
      <c r="B51" t="s">
        <v>1466</v>
      </c>
      <c r="C51" t="s">
        <v>1022</v>
      </c>
      <c r="D51" t="s">
        <v>144</v>
      </c>
      <c r="E51" t="s">
        <v>1020</v>
      </c>
    </row>
    <row r="52" spans="1:5">
      <c r="A52" t="s">
        <v>1468</v>
      </c>
      <c r="B52" t="s">
        <v>1466</v>
      </c>
      <c r="C52" t="s">
        <v>1023</v>
      </c>
      <c r="D52" t="s">
        <v>144</v>
      </c>
      <c r="E52" t="s">
        <v>1020</v>
      </c>
    </row>
    <row r="53" spans="1:5">
      <c r="A53" t="s">
        <v>1468</v>
      </c>
      <c r="B53" t="s">
        <v>1466</v>
      </c>
      <c r="C53" t="s">
        <v>1024</v>
      </c>
      <c r="D53" t="s">
        <v>144</v>
      </c>
      <c r="E53" t="s">
        <v>1020</v>
      </c>
    </row>
    <row r="54" spans="1:5">
      <c r="A54" t="s">
        <v>1468</v>
      </c>
      <c r="B54" t="s">
        <v>535</v>
      </c>
      <c r="C54" t="s">
        <v>987</v>
      </c>
      <c r="D54" t="s">
        <v>164</v>
      </c>
      <c r="E54" t="s">
        <v>1020</v>
      </c>
    </row>
    <row r="55" spans="1:5">
      <c r="A55" t="s">
        <v>1468</v>
      </c>
      <c r="B55" t="s">
        <v>535</v>
      </c>
      <c r="C55" t="s">
        <v>1025</v>
      </c>
      <c r="D55" t="s">
        <v>144</v>
      </c>
      <c r="E55" t="s">
        <v>1020</v>
      </c>
    </row>
    <row r="56" spans="1:5">
      <c r="A56" t="s">
        <v>1468</v>
      </c>
      <c r="B56" t="s">
        <v>535</v>
      </c>
      <c r="C56" t="s">
        <v>1026</v>
      </c>
      <c r="D56" t="s">
        <v>144</v>
      </c>
      <c r="E56" t="s">
        <v>1020</v>
      </c>
    </row>
    <row r="57" spans="1:5">
      <c r="A57" t="s">
        <v>1468</v>
      </c>
      <c r="B57" t="s">
        <v>535</v>
      </c>
      <c r="C57" t="s">
        <v>1027</v>
      </c>
      <c r="D57" t="s">
        <v>144</v>
      </c>
      <c r="E57" t="s">
        <v>1020</v>
      </c>
    </row>
    <row r="58" spans="1:5">
      <c r="A58" t="s">
        <v>1468</v>
      </c>
      <c r="B58" t="s">
        <v>535</v>
      </c>
      <c r="C58" t="s">
        <v>1028</v>
      </c>
      <c r="D58" t="s">
        <v>144</v>
      </c>
      <c r="E58" t="s">
        <v>1020</v>
      </c>
    </row>
    <row r="59" spans="1:5">
      <c r="A59" t="s">
        <v>1468</v>
      </c>
      <c r="B59" t="s">
        <v>384</v>
      </c>
      <c r="C59" t="s">
        <v>1014</v>
      </c>
      <c r="D59" t="s">
        <v>164</v>
      </c>
      <c r="E59" t="s">
        <v>1029</v>
      </c>
    </row>
    <row r="60" spans="1:5">
      <c r="A60" t="s">
        <v>1468</v>
      </c>
      <c r="B60" t="s">
        <v>384</v>
      </c>
      <c r="C60" t="s">
        <v>1030</v>
      </c>
      <c r="D60" t="s">
        <v>144</v>
      </c>
      <c r="E60" t="s">
        <v>1029</v>
      </c>
    </row>
    <row r="61" spans="1:5">
      <c r="A61" t="s">
        <v>1468</v>
      </c>
      <c r="B61" t="s">
        <v>384</v>
      </c>
      <c r="C61" t="s">
        <v>1031</v>
      </c>
      <c r="D61" t="s">
        <v>144</v>
      </c>
      <c r="E61" t="s">
        <v>1032</v>
      </c>
    </row>
    <row r="62" spans="1:5">
      <c r="A62" t="s">
        <v>1468</v>
      </c>
      <c r="B62" t="s">
        <v>384</v>
      </c>
      <c r="C62" t="s">
        <v>1033</v>
      </c>
      <c r="D62" t="s">
        <v>144</v>
      </c>
      <c r="E62" t="s">
        <v>1034</v>
      </c>
    </row>
    <row r="63" spans="1:5">
      <c r="A63" t="s">
        <v>1468</v>
      </c>
      <c r="B63" t="s">
        <v>384</v>
      </c>
      <c r="C63" t="s">
        <v>1035</v>
      </c>
      <c r="D63" t="s">
        <v>144</v>
      </c>
      <c r="E63" t="s">
        <v>1036</v>
      </c>
    </row>
    <row r="64" spans="1:5">
      <c r="A64" t="s">
        <v>1468</v>
      </c>
      <c r="B64" t="s">
        <v>547</v>
      </c>
      <c r="C64" t="s">
        <v>988</v>
      </c>
      <c r="D64" t="s">
        <v>164</v>
      </c>
      <c r="E64" t="s">
        <v>1037</v>
      </c>
    </row>
    <row r="65" spans="1:5">
      <c r="A65" t="s">
        <v>1468</v>
      </c>
      <c r="B65" t="s">
        <v>547</v>
      </c>
      <c r="C65" t="s">
        <v>1038</v>
      </c>
      <c r="D65" t="s">
        <v>144</v>
      </c>
      <c r="E65" t="s">
        <v>1037</v>
      </c>
    </row>
    <row r="66" spans="1:5">
      <c r="A66" t="s">
        <v>1468</v>
      </c>
      <c r="B66" t="s">
        <v>547</v>
      </c>
      <c r="C66" t="s">
        <v>1039</v>
      </c>
      <c r="D66" t="s">
        <v>144</v>
      </c>
      <c r="E66" t="s">
        <v>1037</v>
      </c>
    </row>
    <row r="67" spans="1:5">
      <c r="A67" t="s">
        <v>1468</v>
      </c>
      <c r="B67" t="s">
        <v>547</v>
      </c>
      <c r="C67" t="s">
        <v>1040</v>
      </c>
      <c r="D67" t="s">
        <v>144</v>
      </c>
      <c r="E67" t="s">
        <v>1037</v>
      </c>
    </row>
    <row r="68" spans="1:5">
      <c r="A68" t="s">
        <v>1468</v>
      </c>
      <c r="B68" t="s">
        <v>1124</v>
      </c>
      <c r="C68" t="s">
        <v>117</v>
      </c>
      <c r="D68" t="s">
        <v>164</v>
      </c>
      <c r="E68" t="s">
        <v>1041</v>
      </c>
    </row>
    <row r="69" spans="1:5">
      <c r="A69" t="s">
        <v>1468</v>
      </c>
      <c r="B69" t="s">
        <v>1124</v>
      </c>
      <c r="C69" t="s">
        <v>116</v>
      </c>
      <c r="D69" t="s">
        <v>144</v>
      </c>
      <c r="E69" t="s">
        <v>1041</v>
      </c>
    </row>
    <row r="70" spans="1:5">
      <c r="A70" t="s">
        <v>1468</v>
      </c>
      <c r="B70" t="s">
        <v>1124</v>
      </c>
      <c r="C70" t="s">
        <v>115</v>
      </c>
      <c r="D70" t="s">
        <v>144</v>
      </c>
      <c r="E70" t="s">
        <v>1041</v>
      </c>
    </row>
    <row r="71" spans="1:5">
      <c r="A71" t="s">
        <v>1468</v>
      </c>
      <c r="B71" t="s">
        <v>1124</v>
      </c>
      <c r="C71" t="s">
        <v>118</v>
      </c>
      <c r="D71" t="s">
        <v>144</v>
      </c>
      <c r="E71" t="s">
        <v>1041</v>
      </c>
    </row>
    <row r="72" spans="1:5">
      <c r="A72" t="s">
        <v>1468</v>
      </c>
      <c r="B72" t="s">
        <v>647</v>
      </c>
      <c r="C72" t="s">
        <v>967</v>
      </c>
      <c r="D72" t="s">
        <v>164</v>
      </c>
      <c r="E72" t="s">
        <v>1042</v>
      </c>
    </row>
    <row r="73" spans="1:5">
      <c r="A73" t="s">
        <v>1468</v>
      </c>
      <c r="B73" t="s">
        <v>647</v>
      </c>
      <c r="C73" t="s">
        <v>1043</v>
      </c>
      <c r="D73" t="s">
        <v>144</v>
      </c>
      <c r="E73" t="s">
        <v>1042</v>
      </c>
    </row>
    <row r="74" spans="1:5">
      <c r="A74" t="s">
        <v>1468</v>
      </c>
      <c r="B74" t="s">
        <v>647</v>
      </c>
      <c r="C74" t="s">
        <v>1013</v>
      </c>
      <c r="D74" t="s">
        <v>144</v>
      </c>
      <c r="E74" t="s">
        <v>1042</v>
      </c>
    </row>
    <row r="75" spans="1:5">
      <c r="A75" t="s">
        <v>1468</v>
      </c>
      <c r="B75" t="s">
        <v>647</v>
      </c>
      <c r="C75" t="s">
        <v>1044</v>
      </c>
      <c r="D75" t="s">
        <v>144</v>
      </c>
      <c r="E75" t="s">
        <v>1042</v>
      </c>
    </row>
    <row r="76" spans="1:5">
      <c r="A76" t="s">
        <v>1468</v>
      </c>
      <c r="B76" t="s">
        <v>647</v>
      </c>
      <c r="C76" t="s">
        <v>1045</v>
      </c>
      <c r="D76" t="s">
        <v>144</v>
      </c>
      <c r="E76" t="s">
        <v>1042</v>
      </c>
    </row>
    <row r="77" spans="1:5">
      <c r="A77" t="s">
        <v>1468</v>
      </c>
      <c r="B77" t="s">
        <v>924</v>
      </c>
      <c r="C77" t="s">
        <v>934</v>
      </c>
      <c r="D77" t="s">
        <v>164</v>
      </c>
    </row>
    <row r="78" spans="1:5">
      <c r="A78" t="s">
        <v>1468</v>
      </c>
      <c r="B78" t="s">
        <v>924</v>
      </c>
      <c r="C78" t="s">
        <v>991</v>
      </c>
      <c r="D78" t="s">
        <v>144</v>
      </c>
    </row>
    <row r="79" spans="1:5">
      <c r="A79" t="s">
        <v>1468</v>
      </c>
      <c r="B79" t="s">
        <v>924</v>
      </c>
      <c r="C79" t="s">
        <v>969</v>
      </c>
      <c r="D79" t="s">
        <v>144</v>
      </c>
    </row>
    <row r="80" spans="1:5">
      <c r="A80" t="s">
        <v>1468</v>
      </c>
      <c r="B80" t="s">
        <v>924</v>
      </c>
      <c r="C80" t="s">
        <v>992</v>
      </c>
      <c r="D80" t="s">
        <v>144</v>
      </c>
    </row>
    <row r="81" spans="1:6">
      <c r="A81" t="s">
        <v>1468</v>
      </c>
      <c r="B81" t="s">
        <v>924</v>
      </c>
      <c r="C81" t="s">
        <v>970</v>
      </c>
      <c r="D81" t="s">
        <v>144</v>
      </c>
    </row>
    <row r="82" spans="1:6">
      <c r="A82" t="s">
        <v>1468</v>
      </c>
      <c r="B82" t="s">
        <v>924</v>
      </c>
      <c r="C82" t="s">
        <v>961</v>
      </c>
      <c r="D82" t="s">
        <v>144</v>
      </c>
    </row>
    <row r="83" spans="1:6">
      <c r="A83" t="s">
        <v>1468</v>
      </c>
      <c r="B83" t="s">
        <v>158</v>
      </c>
      <c r="C83" t="s">
        <v>957</v>
      </c>
      <c r="D83" t="s">
        <v>217</v>
      </c>
    </row>
    <row r="84" spans="1:6">
      <c r="A84" t="s">
        <v>1468</v>
      </c>
      <c r="B84" t="s">
        <v>158</v>
      </c>
      <c r="C84" t="s">
        <v>99</v>
      </c>
      <c r="D84" t="s">
        <v>217</v>
      </c>
    </row>
    <row r="85" spans="1:6">
      <c r="A85" t="s">
        <v>1468</v>
      </c>
      <c r="B85" t="s">
        <v>158</v>
      </c>
      <c r="C85" t="s">
        <v>987</v>
      </c>
      <c r="D85" t="s">
        <v>217</v>
      </c>
    </row>
    <row r="86" spans="1:6">
      <c r="A86" t="s">
        <v>1468</v>
      </c>
      <c r="B86" t="s">
        <v>158</v>
      </c>
      <c r="C86" t="s">
        <v>69</v>
      </c>
      <c r="D86" t="s">
        <v>1019</v>
      </c>
      <c r="F86" t="s">
        <v>145</v>
      </c>
    </row>
    <row r="87" spans="1:6">
      <c r="A87" t="s">
        <v>1468</v>
      </c>
      <c r="B87" t="s">
        <v>158</v>
      </c>
      <c r="C87" t="s">
        <v>257</v>
      </c>
      <c r="D87" t="s">
        <v>160</v>
      </c>
      <c r="F87" t="s">
        <v>145</v>
      </c>
    </row>
    <row r="88" spans="1:6">
      <c r="A88" t="s">
        <v>1468</v>
      </c>
      <c r="B88" t="s">
        <v>158</v>
      </c>
      <c r="C88" t="s">
        <v>887</v>
      </c>
      <c r="D88" t="s">
        <v>836</v>
      </c>
      <c r="F88" t="s">
        <v>337</v>
      </c>
    </row>
    <row r="89" spans="1:6">
      <c r="A89" t="s">
        <v>1469</v>
      </c>
      <c r="B89" t="s">
        <v>1466</v>
      </c>
      <c r="C89" t="s">
        <v>969</v>
      </c>
      <c r="D89" t="s">
        <v>164</v>
      </c>
      <c r="E89" t="s">
        <v>1046</v>
      </c>
    </row>
    <row r="90" spans="1:6">
      <c r="A90" t="s">
        <v>1469</v>
      </c>
      <c r="B90" t="s">
        <v>1466</v>
      </c>
      <c r="C90" t="s">
        <v>1047</v>
      </c>
      <c r="D90" t="s">
        <v>144</v>
      </c>
      <c r="E90" t="s">
        <v>1046</v>
      </c>
    </row>
    <row r="91" spans="1:6">
      <c r="A91" t="s">
        <v>1469</v>
      </c>
      <c r="B91" t="s">
        <v>1466</v>
      </c>
      <c r="C91" t="s">
        <v>1048</v>
      </c>
      <c r="D91" t="s">
        <v>144</v>
      </c>
      <c r="E91" t="s">
        <v>1046</v>
      </c>
    </row>
    <row r="92" spans="1:6">
      <c r="A92" t="s">
        <v>1469</v>
      </c>
      <c r="B92" t="s">
        <v>1466</v>
      </c>
      <c r="C92" t="s">
        <v>1049</v>
      </c>
      <c r="D92" t="s">
        <v>144</v>
      </c>
      <c r="E92" t="s">
        <v>1046</v>
      </c>
    </row>
    <row r="93" spans="1:6">
      <c r="A93" t="s">
        <v>1469</v>
      </c>
      <c r="B93" t="s">
        <v>1466</v>
      </c>
      <c r="C93" t="s">
        <v>1050</v>
      </c>
      <c r="D93" t="s">
        <v>144</v>
      </c>
      <c r="E93" t="s">
        <v>1046</v>
      </c>
    </row>
    <row r="94" spans="1:6">
      <c r="A94" t="s">
        <v>1469</v>
      </c>
      <c r="B94" t="s">
        <v>1466</v>
      </c>
      <c r="C94" t="s">
        <v>1051</v>
      </c>
      <c r="D94" t="s">
        <v>144</v>
      </c>
      <c r="E94" t="s">
        <v>1046</v>
      </c>
    </row>
    <row r="95" spans="1:6">
      <c r="A95" t="s">
        <v>1469</v>
      </c>
      <c r="B95" t="s">
        <v>535</v>
      </c>
      <c r="C95" t="s">
        <v>1023</v>
      </c>
      <c r="D95" t="s">
        <v>164</v>
      </c>
      <c r="E95" t="s">
        <v>1046</v>
      </c>
    </row>
    <row r="96" spans="1:6">
      <c r="A96" t="s">
        <v>1469</v>
      </c>
      <c r="B96" t="s">
        <v>535</v>
      </c>
      <c r="C96" t="s">
        <v>1052</v>
      </c>
      <c r="D96" t="s">
        <v>144</v>
      </c>
      <c r="E96" t="s">
        <v>1046</v>
      </c>
    </row>
    <row r="97" spans="1:5">
      <c r="A97" t="s">
        <v>1469</v>
      </c>
      <c r="B97" t="s">
        <v>535</v>
      </c>
      <c r="C97" t="s">
        <v>1053</v>
      </c>
      <c r="D97" t="s">
        <v>144</v>
      </c>
      <c r="E97" t="s">
        <v>1046</v>
      </c>
    </row>
    <row r="98" spans="1:5">
      <c r="A98" t="s">
        <v>1469</v>
      </c>
      <c r="B98" t="s">
        <v>535</v>
      </c>
      <c r="C98" t="s">
        <v>1054</v>
      </c>
      <c r="D98" t="s">
        <v>144</v>
      </c>
      <c r="E98" t="s">
        <v>1046</v>
      </c>
    </row>
    <row r="99" spans="1:5">
      <c r="A99" t="s">
        <v>1469</v>
      </c>
      <c r="B99" t="s">
        <v>535</v>
      </c>
      <c r="C99" t="s">
        <v>1055</v>
      </c>
      <c r="D99" t="s">
        <v>144</v>
      </c>
      <c r="E99" t="s">
        <v>1046</v>
      </c>
    </row>
    <row r="100" spans="1:5">
      <c r="A100" t="s">
        <v>1469</v>
      </c>
      <c r="B100" t="s">
        <v>1467</v>
      </c>
      <c r="C100" t="s">
        <v>115</v>
      </c>
      <c r="D100" t="s">
        <v>164</v>
      </c>
      <c r="E100" t="s">
        <v>1056</v>
      </c>
    </row>
    <row r="101" spans="1:5">
      <c r="A101" t="s">
        <v>1469</v>
      </c>
      <c r="B101" t="s">
        <v>1467</v>
      </c>
      <c r="C101" t="s">
        <v>1057</v>
      </c>
      <c r="D101" t="s">
        <v>144</v>
      </c>
      <c r="E101" t="s">
        <v>1056</v>
      </c>
    </row>
    <row r="102" spans="1:5">
      <c r="A102" t="s">
        <v>1469</v>
      </c>
      <c r="B102" t="s">
        <v>1467</v>
      </c>
      <c r="C102" t="s">
        <v>1058</v>
      </c>
      <c r="D102" t="s">
        <v>144</v>
      </c>
      <c r="E102" t="s">
        <v>1056</v>
      </c>
    </row>
    <row r="103" spans="1:5">
      <c r="A103" t="s">
        <v>1469</v>
      </c>
      <c r="B103" t="s">
        <v>1467</v>
      </c>
      <c r="C103" t="s">
        <v>1059</v>
      </c>
      <c r="D103" t="s">
        <v>144</v>
      </c>
      <c r="E103" t="s">
        <v>1056</v>
      </c>
    </row>
    <row r="104" spans="1:5">
      <c r="A104" t="s">
        <v>1469</v>
      </c>
      <c r="B104" t="s">
        <v>1467</v>
      </c>
      <c r="C104" t="s">
        <v>1060</v>
      </c>
      <c r="D104" t="s">
        <v>144</v>
      </c>
      <c r="E104" t="s">
        <v>1056</v>
      </c>
    </row>
    <row r="105" spans="1:5">
      <c r="A105" t="s">
        <v>1469</v>
      </c>
      <c r="B105" t="s">
        <v>1467</v>
      </c>
      <c r="C105" t="s">
        <v>1061</v>
      </c>
      <c r="D105" t="s">
        <v>144</v>
      </c>
      <c r="E105" t="s">
        <v>1056</v>
      </c>
    </row>
    <row r="106" spans="1:5">
      <c r="A106" t="s">
        <v>1469</v>
      </c>
      <c r="B106" t="s">
        <v>1124</v>
      </c>
      <c r="C106" t="s">
        <v>112</v>
      </c>
      <c r="D106" t="s">
        <v>164</v>
      </c>
      <c r="E106" t="s">
        <v>1062</v>
      </c>
    </row>
    <row r="107" spans="1:5">
      <c r="A107" t="s">
        <v>1469</v>
      </c>
      <c r="B107" t="s">
        <v>1124</v>
      </c>
      <c r="C107" t="s">
        <v>135</v>
      </c>
      <c r="D107" t="s">
        <v>144</v>
      </c>
      <c r="E107" t="s">
        <v>1062</v>
      </c>
    </row>
    <row r="108" spans="1:5">
      <c r="A108" t="s">
        <v>1469</v>
      </c>
      <c r="B108" t="s">
        <v>1124</v>
      </c>
      <c r="C108" t="s">
        <v>136</v>
      </c>
      <c r="D108" t="s">
        <v>144</v>
      </c>
      <c r="E108" t="s">
        <v>1062</v>
      </c>
    </row>
    <row r="109" spans="1:5">
      <c r="A109" t="s">
        <v>1469</v>
      </c>
      <c r="B109" t="s">
        <v>1124</v>
      </c>
      <c r="C109" t="s">
        <v>127</v>
      </c>
      <c r="D109" t="s">
        <v>144</v>
      </c>
      <c r="E109" t="s">
        <v>1062</v>
      </c>
    </row>
    <row r="110" spans="1:5">
      <c r="A110" t="s">
        <v>1469</v>
      </c>
      <c r="B110" t="s">
        <v>1124</v>
      </c>
      <c r="C110" t="s">
        <v>134</v>
      </c>
      <c r="D110" t="s">
        <v>144</v>
      </c>
      <c r="E110" t="s">
        <v>1062</v>
      </c>
    </row>
    <row r="111" spans="1:5">
      <c r="A111" t="s">
        <v>1469</v>
      </c>
      <c r="B111" t="s">
        <v>647</v>
      </c>
      <c r="C111" t="s">
        <v>1044</v>
      </c>
      <c r="D111" t="s">
        <v>164</v>
      </c>
      <c r="E111" t="s">
        <v>1063</v>
      </c>
    </row>
    <row r="112" spans="1:5">
      <c r="A112" t="s">
        <v>1469</v>
      </c>
      <c r="B112" t="s">
        <v>647</v>
      </c>
      <c r="C112" t="s">
        <v>1064</v>
      </c>
      <c r="D112" t="s">
        <v>144</v>
      </c>
      <c r="E112" t="s">
        <v>1063</v>
      </c>
    </row>
    <row r="113" spans="1:6">
      <c r="A113" t="s">
        <v>1469</v>
      </c>
      <c r="B113" t="s">
        <v>647</v>
      </c>
      <c r="C113" t="s">
        <v>1065</v>
      </c>
      <c r="D113" t="s">
        <v>144</v>
      </c>
      <c r="E113" t="s">
        <v>1063</v>
      </c>
    </row>
    <row r="114" spans="1:6">
      <c r="A114" t="s">
        <v>1469</v>
      </c>
      <c r="B114" t="s">
        <v>647</v>
      </c>
      <c r="C114" t="s">
        <v>1066</v>
      </c>
      <c r="D114" t="s">
        <v>144</v>
      </c>
      <c r="E114" t="s">
        <v>1063</v>
      </c>
    </row>
    <row r="115" spans="1:6">
      <c r="A115" t="s">
        <v>1469</v>
      </c>
      <c r="B115" t="s">
        <v>647</v>
      </c>
      <c r="C115" t="s">
        <v>1067</v>
      </c>
      <c r="D115" t="s">
        <v>144</v>
      </c>
      <c r="E115" t="s">
        <v>1063</v>
      </c>
    </row>
    <row r="116" spans="1:6">
      <c r="A116" t="s">
        <v>1469</v>
      </c>
      <c r="B116" t="s">
        <v>158</v>
      </c>
      <c r="C116" t="s">
        <v>112</v>
      </c>
      <c r="D116" t="s">
        <v>217</v>
      </c>
    </row>
    <row r="117" spans="1:6">
      <c r="A117" t="s">
        <v>1469</v>
      </c>
      <c r="B117" t="s">
        <v>158</v>
      </c>
      <c r="C117" t="s">
        <v>957</v>
      </c>
      <c r="D117" t="s">
        <v>217</v>
      </c>
    </row>
    <row r="118" spans="1:6">
      <c r="A118" t="s">
        <v>1469</v>
      </c>
      <c r="B118" t="s">
        <v>158</v>
      </c>
      <c r="C118" t="s">
        <v>99</v>
      </c>
      <c r="D118" t="s">
        <v>217</v>
      </c>
    </row>
    <row r="119" spans="1:6">
      <c r="A119" t="s">
        <v>1469</v>
      </c>
      <c r="B119" t="s">
        <v>158</v>
      </c>
      <c r="C119" t="s">
        <v>1014</v>
      </c>
      <c r="D119" t="s">
        <v>217</v>
      </c>
    </row>
    <row r="120" spans="1:6">
      <c r="A120" t="s">
        <v>1469</v>
      </c>
      <c r="B120" t="s">
        <v>158</v>
      </c>
      <c r="C120" t="s">
        <v>69</v>
      </c>
      <c r="D120" t="s">
        <v>1019</v>
      </c>
      <c r="F120" t="s">
        <v>145</v>
      </c>
    </row>
    <row r="121" spans="1:6">
      <c r="A121" t="s">
        <v>1469</v>
      </c>
      <c r="B121" t="s">
        <v>158</v>
      </c>
      <c r="C121" t="s">
        <v>257</v>
      </c>
      <c r="D121" t="s">
        <v>160</v>
      </c>
      <c r="F121" t="s">
        <v>145</v>
      </c>
    </row>
    <row r="122" spans="1:6">
      <c r="A122" t="s">
        <v>1469</v>
      </c>
      <c r="B122" t="s">
        <v>158</v>
      </c>
      <c r="C122" t="s">
        <v>887</v>
      </c>
      <c r="D122" t="s">
        <v>836</v>
      </c>
      <c r="F122" t="s">
        <v>337</v>
      </c>
    </row>
    <row r="123" spans="1:6" ht="15.75" customHeight="1">
      <c r="A123" t="s">
        <v>1470</v>
      </c>
      <c r="B123" s="2" t="s">
        <v>856</v>
      </c>
      <c r="C123" s="2" t="s">
        <v>1014</v>
      </c>
      <c r="D123" t="s">
        <v>217</v>
      </c>
      <c r="E123" s="2" t="s">
        <v>1068</v>
      </c>
      <c r="F123" s="2" t="s">
        <v>145</v>
      </c>
    </row>
    <row r="124" spans="1:6" ht="15.75" customHeight="1">
      <c r="A124" t="s">
        <v>1470</v>
      </c>
      <c r="B124" s="2" t="s">
        <v>856</v>
      </c>
      <c r="C124" s="2" t="s">
        <v>1038</v>
      </c>
      <c r="D124" s="2" t="s">
        <v>164</v>
      </c>
      <c r="E124" s="2" t="s">
        <v>1068</v>
      </c>
      <c r="F124" s="2" t="s">
        <v>145</v>
      </c>
    </row>
    <row r="125" spans="1:6">
      <c r="A125" t="s">
        <v>1470</v>
      </c>
      <c r="B125" s="2" t="s">
        <v>856</v>
      </c>
      <c r="C125" s="2" t="s">
        <v>1069</v>
      </c>
      <c r="D125" s="2" t="s">
        <v>144</v>
      </c>
      <c r="E125" s="2" t="s">
        <v>1068</v>
      </c>
      <c r="F125" s="2" t="s">
        <v>145</v>
      </c>
    </row>
    <row r="126" spans="1:6">
      <c r="A126" t="s">
        <v>1470</v>
      </c>
      <c r="B126" s="2" t="s">
        <v>856</v>
      </c>
      <c r="C126" s="2" t="s">
        <v>1070</v>
      </c>
      <c r="D126" s="2" t="s">
        <v>144</v>
      </c>
      <c r="E126" s="2" t="s">
        <v>1068</v>
      </c>
      <c r="F126" s="2" t="s">
        <v>145</v>
      </c>
    </row>
    <row r="127" spans="1:6">
      <c r="A127" t="s">
        <v>1470</v>
      </c>
      <c r="B127" s="2" t="s">
        <v>856</v>
      </c>
      <c r="C127" s="2" t="s">
        <v>1071</v>
      </c>
      <c r="D127" s="2" t="s">
        <v>144</v>
      </c>
      <c r="E127" s="2" t="s">
        <v>1068</v>
      </c>
      <c r="F127" s="2" t="s">
        <v>145</v>
      </c>
    </row>
    <row r="128" spans="1:6">
      <c r="A128" t="s">
        <v>1470</v>
      </c>
      <c r="B128" s="2" t="s">
        <v>856</v>
      </c>
      <c r="C128" s="2" t="s">
        <v>1072</v>
      </c>
      <c r="D128" s="2" t="s">
        <v>144</v>
      </c>
      <c r="E128" s="2" t="s">
        <v>1068</v>
      </c>
      <c r="F128" s="2" t="s">
        <v>145</v>
      </c>
    </row>
    <row r="129" spans="1:6">
      <c r="A129" t="s">
        <v>1470</v>
      </c>
      <c r="B129" s="2" t="s">
        <v>384</v>
      </c>
      <c r="C129" s="2" t="s">
        <v>1073</v>
      </c>
      <c r="D129" s="2" t="s">
        <v>217</v>
      </c>
      <c r="E129" s="2"/>
      <c r="F129" s="2" t="s">
        <v>145</v>
      </c>
    </row>
    <row r="130" spans="1:6">
      <c r="A130" t="s">
        <v>1470</v>
      </c>
      <c r="B130" s="2" t="s">
        <v>384</v>
      </c>
      <c r="C130" s="2" t="s">
        <v>1061</v>
      </c>
      <c r="D130" s="2" t="s">
        <v>164</v>
      </c>
      <c r="E130" s="2"/>
      <c r="F130" s="2" t="s">
        <v>145</v>
      </c>
    </row>
    <row r="131" spans="1:6">
      <c r="A131" t="s">
        <v>1470</v>
      </c>
      <c r="B131" s="2" t="s">
        <v>384</v>
      </c>
      <c r="C131" s="2" t="s">
        <v>1074</v>
      </c>
      <c r="D131" s="2" t="s">
        <v>144</v>
      </c>
      <c r="E131" s="2" t="s">
        <v>1075</v>
      </c>
      <c r="F131" s="2" t="s">
        <v>145</v>
      </c>
    </row>
    <row r="132" spans="1:6">
      <c r="A132" t="s">
        <v>1470</v>
      </c>
      <c r="B132" s="2" t="s">
        <v>384</v>
      </c>
      <c r="C132" s="2" t="s">
        <v>1076</v>
      </c>
      <c r="D132" s="2" t="s">
        <v>144</v>
      </c>
      <c r="E132" s="2" t="s">
        <v>1077</v>
      </c>
      <c r="F132" s="2" t="s">
        <v>145</v>
      </c>
    </row>
    <row r="133" spans="1:6">
      <c r="A133" t="s">
        <v>1470</v>
      </c>
      <c r="B133" s="2" t="s">
        <v>384</v>
      </c>
      <c r="C133" s="2" t="s">
        <v>1078</v>
      </c>
      <c r="D133" s="2" t="s">
        <v>144</v>
      </c>
      <c r="E133" s="2" t="s">
        <v>1079</v>
      </c>
      <c r="F133" s="2" t="s">
        <v>145</v>
      </c>
    </row>
    <row r="134" spans="1:6">
      <c r="A134" t="s">
        <v>1470</v>
      </c>
      <c r="B134" s="2" t="s">
        <v>384</v>
      </c>
      <c r="C134" s="2" t="s">
        <v>1080</v>
      </c>
      <c r="D134" s="2" t="s">
        <v>144</v>
      </c>
      <c r="E134" s="2" t="s">
        <v>1081</v>
      </c>
      <c r="F134" s="2" t="s">
        <v>145</v>
      </c>
    </row>
    <row r="135" spans="1:6">
      <c r="A135" t="s">
        <v>1470</v>
      </c>
      <c r="B135" s="2" t="s">
        <v>1112</v>
      </c>
      <c r="C135" s="2" t="s">
        <v>115</v>
      </c>
      <c r="D135" s="2" t="s">
        <v>1471</v>
      </c>
      <c r="E135" s="2" t="s">
        <v>1082</v>
      </c>
      <c r="F135" s="2" t="s">
        <v>145</v>
      </c>
    </row>
    <row r="136" spans="1:6">
      <c r="A136" t="s">
        <v>1470</v>
      </c>
      <c r="B136" s="2" t="s">
        <v>1112</v>
      </c>
      <c r="C136" s="2" t="s">
        <v>1051</v>
      </c>
      <c r="D136" s="2" t="s">
        <v>164</v>
      </c>
      <c r="E136" s="2" t="s">
        <v>1082</v>
      </c>
      <c r="F136" s="2" t="s">
        <v>145</v>
      </c>
    </row>
    <row r="137" spans="1:6">
      <c r="A137" t="s">
        <v>1470</v>
      </c>
      <c r="B137" s="2" t="s">
        <v>1112</v>
      </c>
      <c r="C137" s="2" t="s">
        <v>1083</v>
      </c>
      <c r="D137" s="2" t="s">
        <v>144</v>
      </c>
      <c r="E137" s="2" t="s">
        <v>1082</v>
      </c>
      <c r="F137" s="2" t="s">
        <v>145</v>
      </c>
    </row>
    <row r="138" spans="1:6">
      <c r="A138" t="s">
        <v>1470</v>
      </c>
      <c r="B138" s="2" t="s">
        <v>1112</v>
      </c>
      <c r="C138" s="2" t="s">
        <v>1084</v>
      </c>
      <c r="D138" s="2" t="s">
        <v>144</v>
      </c>
      <c r="E138" s="2" t="s">
        <v>1082</v>
      </c>
      <c r="F138" s="2" t="s">
        <v>145</v>
      </c>
    </row>
    <row r="139" spans="1:6">
      <c r="A139" t="s">
        <v>1470</v>
      </c>
      <c r="B139" s="2" t="s">
        <v>1112</v>
      </c>
      <c r="C139" s="2" t="s">
        <v>1085</v>
      </c>
      <c r="D139" s="2" t="s">
        <v>144</v>
      </c>
      <c r="E139" s="2" t="s">
        <v>1082</v>
      </c>
      <c r="F139" s="2" t="s">
        <v>145</v>
      </c>
    </row>
    <row r="140" spans="1:6">
      <c r="A140" t="s">
        <v>1470</v>
      </c>
      <c r="B140" s="2" t="s">
        <v>1112</v>
      </c>
      <c r="C140" s="2" t="s">
        <v>1086</v>
      </c>
      <c r="D140" s="2" t="s">
        <v>144</v>
      </c>
      <c r="E140" s="2" t="s">
        <v>1082</v>
      </c>
      <c r="F140" s="2" t="s">
        <v>145</v>
      </c>
    </row>
    <row r="141" spans="1:6">
      <c r="A141" t="s">
        <v>1470</v>
      </c>
      <c r="B141" s="2" t="s">
        <v>1112</v>
      </c>
      <c r="C141" s="2" t="s">
        <v>1087</v>
      </c>
      <c r="D141" s="2" t="s">
        <v>144</v>
      </c>
      <c r="E141" s="2" t="s">
        <v>1082</v>
      </c>
      <c r="F141" s="2" t="s">
        <v>145</v>
      </c>
    </row>
    <row r="142" spans="1:6">
      <c r="A142" t="s">
        <v>1470</v>
      </c>
      <c r="B142" s="2" t="s">
        <v>535</v>
      </c>
      <c r="C142" s="2" t="s">
        <v>115</v>
      </c>
      <c r="D142" s="2" t="s">
        <v>1471</v>
      </c>
      <c r="E142" s="2" t="s">
        <v>1082</v>
      </c>
      <c r="F142" s="2" t="s">
        <v>145</v>
      </c>
    </row>
    <row r="143" spans="1:6">
      <c r="A143" t="s">
        <v>1470</v>
      </c>
      <c r="B143" s="2" t="s">
        <v>535</v>
      </c>
      <c r="C143" s="2" t="s">
        <v>1025</v>
      </c>
      <c r="D143" s="2" t="s">
        <v>164</v>
      </c>
      <c r="E143" s="2" t="s">
        <v>1082</v>
      </c>
      <c r="F143" s="2" t="s">
        <v>145</v>
      </c>
    </row>
    <row r="144" spans="1:6">
      <c r="A144" t="s">
        <v>1470</v>
      </c>
      <c r="B144" s="2" t="s">
        <v>535</v>
      </c>
      <c r="C144" s="2" t="s">
        <v>1088</v>
      </c>
      <c r="D144" s="2" t="s">
        <v>144</v>
      </c>
      <c r="E144" s="2" t="s">
        <v>1082</v>
      </c>
      <c r="F144" s="2" t="s">
        <v>145</v>
      </c>
    </row>
    <row r="145" spans="1:6">
      <c r="A145" t="s">
        <v>1470</v>
      </c>
      <c r="B145" s="2" t="s">
        <v>535</v>
      </c>
      <c r="C145" s="2" t="s">
        <v>1089</v>
      </c>
      <c r="D145" s="2" t="s">
        <v>144</v>
      </c>
      <c r="E145" s="2" t="s">
        <v>1082</v>
      </c>
      <c r="F145" s="2" t="s">
        <v>145</v>
      </c>
    </row>
    <row r="146" spans="1:6">
      <c r="A146" t="s">
        <v>1470</v>
      </c>
      <c r="B146" s="2" t="s">
        <v>535</v>
      </c>
      <c r="C146" s="2" t="s">
        <v>1090</v>
      </c>
      <c r="D146" s="2" t="s">
        <v>144</v>
      </c>
      <c r="E146" s="2" t="s">
        <v>1082</v>
      </c>
      <c r="F146" s="2" t="s">
        <v>145</v>
      </c>
    </row>
    <row r="147" spans="1:6">
      <c r="A147" t="s">
        <v>1470</v>
      </c>
      <c r="B147" s="2" t="s">
        <v>535</v>
      </c>
      <c r="C147" s="2" t="s">
        <v>1091</v>
      </c>
      <c r="D147" s="2" t="s">
        <v>144</v>
      </c>
      <c r="E147" s="2" t="s">
        <v>1082</v>
      </c>
      <c r="F147" s="2" t="s">
        <v>145</v>
      </c>
    </row>
    <row r="148" spans="1:6">
      <c r="A148" t="s">
        <v>1470</v>
      </c>
      <c r="B148" s="2" t="s">
        <v>1124</v>
      </c>
      <c r="C148" s="2" t="s">
        <v>112</v>
      </c>
      <c r="D148" s="2" t="s">
        <v>217</v>
      </c>
      <c r="E148" s="2" t="s">
        <v>1092</v>
      </c>
      <c r="F148" s="2" t="s">
        <v>145</v>
      </c>
    </row>
    <row r="149" spans="1:6">
      <c r="A149" t="s">
        <v>1470</v>
      </c>
      <c r="B149" s="2" t="s">
        <v>1124</v>
      </c>
      <c r="C149" s="2" t="s">
        <v>127</v>
      </c>
      <c r="D149" s="2" t="s">
        <v>164</v>
      </c>
      <c r="E149" s="2" t="s">
        <v>1092</v>
      </c>
      <c r="F149" s="2" t="s">
        <v>145</v>
      </c>
    </row>
    <row r="150" spans="1:6">
      <c r="A150" t="s">
        <v>1470</v>
      </c>
      <c r="B150" s="2" t="s">
        <v>1124</v>
      </c>
      <c r="C150" s="2" t="s">
        <v>126</v>
      </c>
      <c r="D150" s="2" t="s">
        <v>144</v>
      </c>
      <c r="E150" s="2" t="s">
        <v>1092</v>
      </c>
      <c r="F150" s="2" t="s">
        <v>145</v>
      </c>
    </row>
    <row r="151" spans="1:6">
      <c r="A151" t="s">
        <v>1470</v>
      </c>
      <c r="B151" s="2" t="s">
        <v>1124</v>
      </c>
      <c r="C151" s="2" t="s">
        <v>128</v>
      </c>
      <c r="D151" s="2" t="s">
        <v>144</v>
      </c>
      <c r="E151" s="2" t="s">
        <v>1092</v>
      </c>
      <c r="F151" s="2" t="s">
        <v>145</v>
      </c>
    </row>
    <row r="152" spans="1:6">
      <c r="A152" t="s">
        <v>1470</v>
      </c>
      <c r="B152" s="2" t="s">
        <v>1124</v>
      </c>
      <c r="C152" s="2" t="s">
        <v>129</v>
      </c>
      <c r="D152" s="2" t="s">
        <v>144</v>
      </c>
      <c r="E152" s="2" t="s">
        <v>1092</v>
      </c>
      <c r="F152" s="2" t="s">
        <v>145</v>
      </c>
    </row>
    <row r="153" spans="1:6">
      <c r="A153" t="s">
        <v>1470</v>
      </c>
      <c r="B153" s="2" t="s">
        <v>1124</v>
      </c>
      <c r="C153" s="2" t="s">
        <v>131</v>
      </c>
      <c r="D153" s="2" t="s">
        <v>144</v>
      </c>
      <c r="E153" s="2" t="s">
        <v>1092</v>
      </c>
      <c r="F153" s="2" t="s">
        <v>145</v>
      </c>
    </row>
    <row r="154" spans="1:6">
      <c r="A154" t="s">
        <v>1470</v>
      </c>
      <c r="B154" s="2" t="s">
        <v>1124</v>
      </c>
      <c r="C154" s="2" t="s">
        <v>130</v>
      </c>
      <c r="D154" s="2" t="s">
        <v>144</v>
      </c>
      <c r="E154" s="2" t="s">
        <v>1092</v>
      </c>
      <c r="F154" s="2" t="s">
        <v>145</v>
      </c>
    </row>
    <row r="155" spans="1:6">
      <c r="A155" t="s">
        <v>1470</v>
      </c>
      <c r="B155" s="2" t="s">
        <v>647</v>
      </c>
      <c r="C155" s="2" t="s">
        <v>1014</v>
      </c>
      <c r="D155" s="2" t="s">
        <v>217</v>
      </c>
      <c r="E155" s="2" t="s">
        <v>1093</v>
      </c>
      <c r="F155" s="2" t="s">
        <v>647</v>
      </c>
    </row>
    <row r="156" spans="1:6">
      <c r="A156" t="s">
        <v>1470</v>
      </c>
      <c r="B156" s="2" t="s">
        <v>647</v>
      </c>
      <c r="C156" s="2" t="s">
        <v>1073</v>
      </c>
      <c r="D156" s="2" t="s">
        <v>217</v>
      </c>
      <c r="E156" s="2" t="s">
        <v>1093</v>
      </c>
      <c r="F156" s="2" t="s">
        <v>647</v>
      </c>
    </row>
    <row r="157" spans="1:6">
      <c r="A157" t="s">
        <v>1470</v>
      </c>
      <c r="B157" s="2" t="s">
        <v>647</v>
      </c>
      <c r="C157" s="2" t="s">
        <v>1065</v>
      </c>
      <c r="D157" s="2" t="s">
        <v>164</v>
      </c>
      <c r="E157" s="2" t="s">
        <v>1093</v>
      </c>
      <c r="F157" s="2" t="s">
        <v>647</v>
      </c>
    </row>
    <row r="158" spans="1:6">
      <c r="A158" t="s">
        <v>1470</v>
      </c>
      <c r="B158" s="2" t="s">
        <v>647</v>
      </c>
      <c r="C158" s="2" t="s">
        <v>1094</v>
      </c>
      <c r="D158" s="2" t="s">
        <v>144</v>
      </c>
      <c r="E158" s="2" t="s">
        <v>1093</v>
      </c>
      <c r="F158" s="2" t="s">
        <v>647</v>
      </c>
    </row>
    <row r="159" spans="1:6">
      <c r="A159" t="s">
        <v>1470</v>
      </c>
      <c r="B159" s="2" t="s">
        <v>647</v>
      </c>
      <c r="C159" s="2" t="s">
        <v>1095</v>
      </c>
      <c r="D159" s="2" t="s">
        <v>144</v>
      </c>
      <c r="E159" s="2" t="s">
        <v>1093</v>
      </c>
      <c r="F159" s="2" t="s">
        <v>647</v>
      </c>
    </row>
    <row r="160" spans="1:6">
      <c r="A160" t="s">
        <v>1470</v>
      </c>
      <c r="B160" s="2" t="s">
        <v>647</v>
      </c>
      <c r="C160" s="2" t="s">
        <v>1096</v>
      </c>
      <c r="D160" s="2" t="s">
        <v>144</v>
      </c>
      <c r="E160" s="2" t="s">
        <v>1093</v>
      </c>
      <c r="F160" s="2" t="s">
        <v>647</v>
      </c>
    </row>
    <row r="161" spans="1:6">
      <c r="A161" t="s">
        <v>1470</v>
      </c>
      <c r="B161" s="2" t="s">
        <v>647</v>
      </c>
      <c r="C161" s="2" t="s">
        <v>1097</v>
      </c>
      <c r="D161" s="2" t="s">
        <v>144</v>
      </c>
      <c r="E161" s="2" t="s">
        <v>1093</v>
      </c>
      <c r="F161" s="2" t="s">
        <v>647</v>
      </c>
    </row>
    <row r="162" spans="1:6">
      <c r="A162" t="s">
        <v>1470</v>
      </c>
      <c r="B162" s="2" t="s">
        <v>924</v>
      </c>
      <c r="C162" s="2" t="s">
        <v>969</v>
      </c>
      <c r="D162" s="2" t="s">
        <v>217</v>
      </c>
      <c r="E162" s="2"/>
      <c r="F162" s="2" t="s">
        <v>145</v>
      </c>
    </row>
    <row r="163" spans="1:6">
      <c r="A163" t="s">
        <v>1470</v>
      </c>
      <c r="B163" s="2" t="s">
        <v>924</v>
      </c>
      <c r="C163" s="2" t="s">
        <v>1052</v>
      </c>
      <c r="D163" s="2" t="s">
        <v>144</v>
      </c>
      <c r="E163" s="2"/>
      <c r="F163" s="2" t="s">
        <v>145</v>
      </c>
    </row>
    <row r="164" spans="1:6">
      <c r="A164" t="s">
        <v>1470</v>
      </c>
      <c r="B164" s="2" t="s">
        <v>924</v>
      </c>
      <c r="C164" s="2" t="s">
        <v>1054</v>
      </c>
      <c r="D164" s="2" t="s">
        <v>144</v>
      </c>
      <c r="E164" s="2"/>
      <c r="F164" s="2" t="s">
        <v>145</v>
      </c>
    </row>
    <row r="165" spans="1:6">
      <c r="A165" t="s">
        <v>1470</v>
      </c>
      <c r="B165" s="2" t="s">
        <v>924</v>
      </c>
      <c r="C165" s="2" t="s">
        <v>136</v>
      </c>
      <c r="D165" s="2" t="s">
        <v>144</v>
      </c>
      <c r="E165" s="2"/>
      <c r="F165" s="2" t="s">
        <v>145</v>
      </c>
    </row>
    <row r="166" spans="1:6">
      <c r="A166" t="s">
        <v>1470</v>
      </c>
      <c r="B166" s="2" t="s">
        <v>924</v>
      </c>
      <c r="C166" s="2" t="s">
        <v>1059</v>
      </c>
      <c r="D166" s="2" t="s">
        <v>144</v>
      </c>
      <c r="E166" s="2"/>
      <c r="F166" s="2" t="s">
        <v>145</v>
      </c>
    </row>
    <row r="167" spans="1:6">
      <c r="A167" t="s">
        <v>1470</v>
      </c>
      <c r="B167" s="2" t="s">
        <v>158</v>
      </c>
      <c r="C167" s="2" t="s">
        <v>257</v>
      </c>
      <c r="D167" s="2" t="s">
        <v>160</v>
      </c>
      <c r="E167" s="2"/>
      <c r="F167" s="2" t="s">
        <v>145</v>
      </c>
    </row>
    <row r="168" spans="1:6">
      <c r="A168" t="s">
        <v>1470</v>
      </c>
      <c r="B168" s="2" t="s">
        <v>158</v>
      </c>
      <c r="C168" s="2" t="s">
        <v>69</v>
      </c>
      <c r="D168" s="2" t="s">
        <v>1098</v>
      </c>
      <c r="E168" s="2"/>
      <c r="F168" s="2" t="s">
        <v>145</v>
      </c>
    </row>
    <row r="169" spans="1:6">
      <c r="A169" t="s">
        <v>1470</v>
      </c>
      <c r="B169" s="2" t="s">
        <v>158</v>
      </c>
      <c r="C169" s="2" t="s">
        <v>887</v>
      </c>
      <c r="D169" s="2" t="s">
        <v>836</v>
      </c>
      <c r="E169" s="2"/>
      <c r="F169" s="2" t="s">
        <v>337</v>
      </c>
    </row>
    <row r="170" spans="1:6">
      <c r="A170" t="s">
        <v>1470</v>
      </c>
      <c r="B170" s="2" t="s">
        <v>158</v>
      </c>
      <c r="C170" t="s">
        <v>112</v>
      </c>
      <c r="D170" t="s">
        <v>217</v>
      </c>
      <c r="F170" s="2" t="s">
        <v>145</v>
      </c>
    </row>
    <row r="171" spans="1:6">
      <c r="A171" t="s">
        <v>1470</v>
      </c>
      <c r="B171" s="2" t="s">
        <v>158</v>
      </c>
      <c r="C171" t="s">
        <v>115</v>
      </c>
      <c r="D171" t="s">
        <v>217</v>
      </c>
      <c r="F171" s="2" t="s">
        <v>145</v>
      </c>
    </row>
    <row r="172" spans="1:6">
      <c r="A172" t="s">
        <v>1470</v>
      </c>
      <c r="B172" s="2" t="s">
        <v>158</v>
      </c>
      <c r="C172" t="s">
        <v>1073</v>
      </c>
      <c r="D172" t="s">
        <v>217</v>
      </c>
      <c r="F172" s="2" t="s">
        <v>145</v>
      </c>
    </row>
    <row r="173" spans="1:6">
      <c r="A173" t="s">
        <v>1470</v>
      </c>
      <c r="B173" s="2" t="s">
        <v>158</v>
      </c>
      <c r="C173" t="s">
        <v>1014</v>
      </c>
      <c r="D173" t="s">
        <v>217</v>
      </c>
      <c r="F173" s="2" t="s">
        <v>145</v>
      </c>
    </row>
    <row r="174" spans="1:6">
      <c r="A174" t="s">
        <v>1099</v>
      </c>
      <c r="B174" s="2" t="s">
        <v>384</v>
      </c>
      <c r="C174" s="2" t="s">
        <v>1073</v>
      </c>
      <c r="D174" s="2" t="s">
        <v>217</v>
      </c>
      <c r="F174" s="10" t="s">
        <v>145</v>
      </c>
    </row>
    <row r="175" spans="1:6">
      <c r="A175" t="s">
        <v>1099</v>
      </c>
      <c r="B175" t="s">
        <v>384</v>
      </c>
      <c r="C175" t="s">
        <v>1074</v>
      </c>
      <c r="D175" t="s">
        <v>164</v>
      </c>
      <c r="F175" s="10" t="s">
        <v>145</v>
      </c>
    </row>
    <row r="176" spans="1:6">
      <c r="A176" t="s">
        <v>1099</v>
      </c>
      <c r="B176" t="s">
        <v>384</v>
      </c>
      <c r="C176" t="s">
        <v>1100</v>
      </c>
      <c r="D176" t="s">
        <v>144</v>
      </c>
      <c r="E176" t="s">
        <v>1101</v>
      </c>
      <c r="F176" s="10" t="s">
        <v>145</v>
      </c>
    </row>
    <row r="177" spans="1:6">
      <c r="A177" t="s">
        <v>1099</v>
      </c>
      <c r="B177" t="s">
        <v>384</v>
      </c>
      <c r="C177" t="s">
        <v>1102</v>
      </c>
      <c r="D177" t="s">
        <v>144</v>
      </c>
      <c r="E177" t="s">
        <v>1103</v>
      </c>
      <c r="F177" s="10" t="s">
        <v>145</v>
      </c>
    </row>
    <row r="178" spans="1:6">
      <c r="A178" t="s">
        <v>1099</v>
      </c>
      <c r="B178" t="s">
        <v>384</v>
      </c>
      <c r="C178" t="s">
        <v>1104</v>
      </c>
      <c r="D178" t="s">
        <v>144</v>
      </c>
      <c r="E178" t="s">
        <v>1105</v>
      </c>
      <c r="F178" s="10" t="s">
        <v>145</v>
      </c>
    </row>
    <row r="179" spans="1:6">
      <c r="A179" t="s">
        <v>1099</v>
      </c>
      <c r="B179" t="s">
        <v>1106</v>
      </c>
      <c r="C179" t="s">
        <v>1014</v>
      </c>
      <c r="D179" t="s">
        <v>217</v>
      </c>
      <c r="E179" t="s">
        <v>1107</v>
      </c>
      <c r="F179" s="10" t="s">
        <v>145</v>
      </c>
    </row>
    <row r="180" spans="1:6">
      <c r="A180" t="s">
        <v>1099</v>
      </c>
      <c r="B180" t="s">
        <v>535</v>
      </c>
      <c r="C180" t="s">
        <v>1089</v>
      </c>
      <c r="D180" t="s">
        <v>164</v>
      </c>
      <c r="E180" t="s">
        <v>1107</v>
      </c>
      <c r="F180" s="10" t="s">
        <v>145</v>
      </c>
    </row>
    <row r="181" spans="1:6">
      <c r="A181" t="s">
        <v>1099</v>
      </c>
      <c r="B181" t="s">
        <v>535</v>
      </c>
      <c r="C181" t="s">
        <v>1108</v>
      </c>
      <c r="D181" t="s">
        <v>144</v>
      </c>
      <c r="E181" t="s">
        <v>1107</v>
      </c>
      <c r="F181" s="10" t="s">
        <v>145</v>
      </c>
    </row>
    <row r="182" spans="1:6">
      <c r="A182" t="s">
        <v>1099</v>
      </c>
      <c r="B182" t="s">
        <v>535</v>
      </c>
      <c r="C182" t="s">
        <v>1109</v>
      </c>
      <c r="D182" t="s">
        <v>144</v>
      </c>
      <c r="E182" t="s">
        <v>1107</v>
      </c>
      <c r="F182" s="10" t="s">
        <v>145</v>
      </c>
    </row>
    <row r="183" spans="1:6">
      <c r="A183" t="s">
        <v>1099</v>
      </c>
      <c r="B183" t="s">
        <v>535</v>
      </c>
      <c r="C183" t="s">
        <v>1110</v>
      </c>
      <c r="D183" t="s">
        <v>144</v>
      </c>
      <c r="E183" t="s">
        <v>1107</v>
      </c>
      <c r="F183" s="10" t="s">
        <v>145</v>
      </c>
    </row>
    <row r="184" spans="1:6">
      <c r="A184" t="s">
        <v>1099</v>
      </c>
      <c r="B184" t="s">
        <v>535</v>
      </c>
      <c r="C184" t="s">
        <v>1111</v>
      </c>
      <c r="D184" t="s">
        <v>144</v>
      </c>
      <c r="E184" t="s">
        <v>1107</v>
      </c>
      <c r="F184" s="10" t="s">
        <v>145</v>
      </c>
    </row>
    <row r="185" spans="1:6">
      <c r="A185" t="s">
        <v>1099</v>
      </c>
      <c r="B185" t="s">
        <v>1112</v>
      </c>
      <c r="C185" t="s">
        <v>1083</v>
      </c>
      <c r="D185" t="s">
        <v>164</v>
      </c>
      <c r="E185" t="s">
        <v>1107</v>
      </c>
      <c r="F185" s="10" t="s">
        <v>145</v>
      </c>
    </row>
    <row r="186" spans="1:6">
      <c r="A186" t="s">
        <v>1099</v>
      </c>
      <c r="B186" t="s">
        <v>1112</v>
      </c>
      <c r="C186" t="s">
        <v>1113</v>
      </c>
      <c r="D186" t="s">
        <v>144</v>
      </c>
      <c r="E186" t="s">
        <v>1107</v>
      </c>
      <c r="F186" s="10" t="s">
        <v>145</v>
      </c>
    </row>
    <row r="187" spans="1:6">
      <c r="A187" t="s">
        <v>1099</v>
      </c>
      <c r="B187" t="s">
        <v>1112</v>
      </c>
      <c r="C187" t="s">
        <v>1114</v>
      </c>
      <c r="D187" t="s">
        <v>144</v>
      </c>
      <c r="E187" t="s">
        <v>1107</v>
      </c>
      <c r="F187" s="10" t="s">
        <v>145</v>
      </c>
    </row>
    <row r="188" spans="1:6">
      <c r="A188" t="s">
        <v>1099</v>
      </c>
      <c r="B188" t="s">
        <v>1112</v>
      </c>
      <c r="C188" t="s">
        <v>1115</v>
      </c>
      <c r="D188" t="s">
        <v>144</v>
      </c>
      <c r="E188" t="s">
        <v>1107</v>
      </c>
      <c r="F188" s="10" t="s">
        <v>145</v>
      </c>
    </row>
    <row r="189" spans="1:6">
      <c r="A189" t="s">
        <v>1099</v>
      </c>
      <c r="B189" t="s">
        <v>1112</v>
      </c>
      <c r="C189" t="s">
        <v>1116</v>
      </c>
      <c r="D189" t="s">
        <v>144</v>
      </c>
      <c r="E189" t="s">
        <v>1107</v>
      </c>
      <c r="F189" s="10" t="s">
        <v>145</v>
      </c>
    </row>
    <row r="190" spans="1:6">
      <c r="A190" t="s">
        <v>1099</v>
      </c>
      <c r="B190" t="s">
        <v>1112</v>
      </c>
      <c r="C190" t="s">
        <v>1117</v>
      </c>
      <c r="D190" t="s">
        <v>144</v>
      </c>
      <c r="E190" t="s">
        <v>1107</v>
      </c>
      <c r="F190" s="10" t="s">
        <v>145</v>
      </c>
    </row>
    <row r="191" spans="1:6">
      <c r="A191" t="s">
        <v>1099</v>
      </c>
      <c r="B191" t="s">
        <v>1118</v>
      </c>
      <c r="C191" t="s">
        <v>115</v>
      </c>
      <c r="D191" t="s">
        <v>217</v>
      </c>
      <c r="E191" t="s">
        <v>1119</v>
      </c>
      <c r="F191" s="2" t="s">
        <v>145</v>
      </c>
    </row>
    <row r="192" spans="1:6">
      <c r="A192" t="s">
        <v>1099</v>
      </c>
      <c r="B192" t="s">
        <v>1118</v>
      </c>
      <c r="C192" t="s">
        <v>1088</v>
      </c>
      <c r="D192" t="s">
        <v>164</v>
      </c>
      <c r="E192" t="s">
        <v>1119</v>
      </c>
      <c r="F192" s="2" t="s">
        <v>145</v>
      </c>
    </row>
    <row r="193" spans="1:6">
      <c r="A193" t="s">
        <v>1099</v>
      </c>
      <c r="B193" t="s">
        <v>1118</v>
      </c>
      <c r="C193" t="s">
        <v>1120</v>
      </c>
      <c r="D193" t="s">
        <v>144</v>
      </c>
      <c r="E193" t="s">
        <v>1119</v>
      </c>
      <c r="F193" s="2" t="s">
        <v>145</v>
      </c>
    </row>
    <row r="194" spans="1:6">
      <c r="A194" t="s">
        <v>1099</v>
      </c>
      <c r="B194" t="s">
        <v>1118</v>
      </c>
      <c r="C194" t="s">
        <v>1121</v>
      </c>
      <c r="D194" t="s">
        <v>144</v>
      </c>
      <c r="E194" t="s">
        <v>1119</v>
      </c>
      <c r="F194" s="2" t="s">
        <v>145</v>
      </c>
    </row>
    <row r="195" spans="1:6">
      <c r="A195" t="s">
        <v>1099</v>
      </c>
      <c r="B195" t="s">
        <v>1118</v>
      </c>
      <c r="C195" t="s">
        <v>1122</v>
      </c>
      <c r="D195" t="s">
        <v>144</v>
      </c>
      <c r="E195" t="s">
        <v>1119</v>
      </c>
      <c r="F195" s="2" t="s">
        <v>145</v>
      </c>
    </row>
    <row r="196" spans="1:6">
      <c r="A196" t="s">
        <v>1099</v>
      </c>
      <c r="B196" t="s">
        <v>1118</v>
      </c>
      <c r="C196" t="s">
        <v>1123</v>
      </c>
      <c r="D196" t="s">
        <v>144</v>
      </c>
      <c r="E196" t="s">
        <v>1119</v>
      </c>
      <c r="F196" s="2" t="s">
        <v>145</v>
      </c>
    </row>
    <row r="197" spans="1:6">
      <c r="A197" t="s">
        <v>1099</v>
      </c>
      <c r="B197" t="s">
        <v>1124</v>
      </c>
      <c r="C197" t="s">
        <v>112</v>
      </c>
      <c r="D197" t="s">
        <v>217</v>
      </c>
      <c r="E197" t="s">
        <v>1125</v>
      </c>
      <c r="F197" s="2" t="s">
        <v>145</v>
      </c>
    </row>
    <row r="198" spans="1:6">
      <c r="A198" t="s">
        <v>1099</v>
      </c>
      <c r="B198" t="s">
        <v>1124</v>
      </c>
      <c r="C198" t="s">
        <v>128</v>
      </c>
      <c r="D198" t="s">
        <v>164</v>
      </c>
      <c r="E198" t="s">
        <v>1125</v>
      </c>
      <c r="F198" s="10" t="s">
        <v>145</v>
      </c>
    </row>
    <row r="199" spans="1:6">
      <c r="A199" t="s">
        <v>1099</v>
      </c>
      <c r="B199" t="s">
        <v>1124</v>
      </c>
      <c r="C199" t="s">
        <v>1126</v>
      </c>
      <c r="D199" t="s">
        <v>144</v>
      </c>
      <c r="E199" t="s">
        <v>1125</v>
      </c>
      <c r="F199" s="10" t="s">
        <v>145</v>
      </c>
    </row>
    <row r="200" spans="1:6">
      <c r="A200" t="s">
        <v>1099</v>
      </c>
      <c r="B200" t="s">
        <v>1124</v>
      </c>
      <c r="C200" t="s">
        <v>1127</v>
      </c>
      <c r="D200" t="s">
        <v>144</v>
      </c>
      <c r="E200" t="s">
        <v>1125</v>
      </c>
      <c r="F200" s="10" t="s">
        <v>145</v>
      </c>
    </row>
    <row r="201" spans="1:6">
      <c r="A201" t="s">
        <v>1099</v>
      </c>
      <c r="B201" t="s">
        <v>1124</v>
      </c>
      <c r="C201" t="s">
        <v>1128</v>
      </c>
      <c r="D201" t="s">
        <v>144</v>
      </c>
      <c r="E201" t="s">
        <v>1125</v>
      </c>
      <c r="F201" s="10" t="s">
        <v>145</v>
      </c>
    </row>
    <row r="202" spans="1:6">
      <c r="A202" t="s">
        <v>1099</v>
      </c>
      <c r="B202" t="s">
        <v>1124</v>
      </c>
      <c r="C202" t="s">
        <v>1129</v>
      </c>
      <c r="D202" t="s">
        <v>144</v>
      </c>
      <c r="E202" t="s">
        <v>1125</v>
      </c>
      <c r="F202" s="10" t="s">
        <v>145</v>
      </c>
    </row>
    <row r="203" spans="1:6">
      <c r="A203" t="s">
        <v>1099</v>
      </c>
      <c r="B203" t="s">
        <v>647</v>
      </c>
      <c r="C203" t="s">
        <v>1073</v>
      </c>
      <c r="D203" t="s">
        <v>217</v>
      </c>
      <c r="E203" t="s">
        <v>1130</v>
      </c>
      <c r="F203" t="s">
        <v>647</v>
      </c>
    </row>
    <row r="204" spans="1:6">
      <c r="A204" t="s">
        <v>1099</v>
      </c>
      <c r="B204" t="s">
        <v>647</v>
      </c>
      <c r="C204" t="s">
        <v>1014</v>
      </c>
      <c r="D204" t="s">
        <v>217</v>
      </c>
      <c r="E204" t="s">
        <v>1130</v>
      </c>
      <c r="F204" t="s">
        <v>647</v>
      </c>
    </row>
    <row r="205" spans="1:6">
      <c r="A205" t="s">
        <v>1099</v>
      </c>
      <c r="B205" t="s">
        <v>647</v>
      </c>
      <c r="C205" t="s">
        <v>1094</v>
      </c>
      <c r="D205" t="s">
        <v>164</v>
      </c>
      <c r="E205" t="s">
        <v>1130</v>
      </c>
      <c r="F205" t="s">
        <v>647</v>
      </c>
    </row>
    <row r="206" spans="1:6">
      <c r="A206" t="s">
        <v>1099</v>
      </c>
      <c r="B206" t="s">
        <v>647</v>
      </c>
      <c r="C206" t="s">
        <v>1131</v>
      </c>
      <c r="D206" t="s">
        <v>144</v>
      </c>
      <c r="E206" t="s">
        <v>1130</v>
      </c>
      <c r="F206" t="s">
        <v>647</v>
      </c>
    </row>
    <row r="207" spans="1:6">
      <c r="A207" t="s">
        <v>1099</v>
      </c>
      <c r="B207" t="s">
        <v>647</v>
      </c>
      <c r="C207" t="s">
        <v>1132</v>
      </c>
      <c r="D207" t="s">
        <v>144</v>
      </c>
      <c r="E207" t="s">
        <v>1130</v>
      </c>
      <c r="F207" t="s">
        <v>647</v>
      </c>
    </row>
    <row r="208" spans="1:6">
      <c r="A208" t="s">
        <v>1099</v>
      </c>
      <c r="B208" t="s">
        <v>647</v>
      </c>
      <c r="C208" t="s">
        <v>1133</v>
      </c>
      <c r="D208" t="s">
        <v>144</v>
      </c>
      <c r="E208" t="s">
        <v>1130</v>
      </c>
      <c r="F208" t="s">
        <v>647</v>
      </c>
    </row>
    <row r="209" spans="1:6">
      <c r="A209" t="s">
        <v>1099</v>
      </c>
      <c r="B209" t="s">
        <v>647</v>
      </c>
      <c r="C209" t="s">
        <v>1134</v>
      </c>
      <c r="D209" t="s">
        <v>144</v>
      </c>
      <c r="E209" t="s">
        <v>1130</v>
      </c>
      <c r="F209" t="s">
        <v>647</v>
      </c>
    </row>
    <row r="210" spans="1:6">
      <c r="A210" t="s">
        <v>1099</v>
      </c>
      <c r="B210" t="s">
        <v>924</v>
      </c>
      <c r="C210" t="s">
        <v>969</v>
      </c>
      <c r="D210" t="s">
        <v>217</v>
      </c>
      <c r="F210" t="s">
        <v>145</v>
      </c>
    </row>
    <row r="211" spans="1:6">
      <c r="A211" t="s">
        <v>1099</v>
      </c>
      <c r="B211" t="s">
        <v>924</v>
      </c>
      <c r="C211" t="s">
        <v>1059</v>
      </c>
      <c r="D211" t="s">
        <v>144</v>
      </c>
      <c r="F211" t="s">
        <v>145</v>
      </c>
    </row>
    <row r="212" spans="1:6">
      <c r="A212" t="s">
        <v>1099</v>
      </c>
      <c r="B212" t="s">
        <v>924</v>
      </c>
      <c r="C212" t="s">
        <v>1135</v>
      </c>
      <c r="D212" t="s">
        <v>144</v>
      </c>
      <c r="F212" t="s">
        <v>145</v>
      </c>
    </row>
    <row r="213" spans="1:6">
      <c r="A213" t="s">
        <v>1099</v>
      </c>
      <c r="B213" t="s">
        <v>924</v>
      </c>
      <c r="C213" t="s">
        <v>1052</v>
      </c>
      <c r="D213" t="s">
        <v>144</v>
      </c>
      <c r="F213" t="s">
        <v>145</v>
      </c>
    </row>
    <row r="214" spans="1:6">
      <c r="A214" t="s">
        <v>1099</v>
      </c>
      <c r="B214" t="s">
        <v>924</v>
      </c>
      <c r="C214" t="s">
        <v>136</v>
      </c>
      <c r="D214" t="s">
        <v>144</v>
      </c>
      <c r="F214" t="s">
        <v>145</v>
      </c>
    </row>
    <row r="215" spans="1:6">
      <c r="A215" t="s">
        <v>1099</v>
      </c>
      <c r="B215" t="s">
        <v>924</v>
      </c>
      <c r="C215" t="s">
        <v>1061</v>
      </c>
      <c r="D215" t="s">
        <v>144</v>
      </c>
      <c r="F215" t="s">
        <v>145</v>
      </c>
    </row>
    <row r="216" spans="1:6">
      <c r="A216" t="s">
        <v>1099</v>
      </c>
      <c r="B216" t="s">
        <v>924</v>
      </c>
      <c r="C216" t="s">
        <v>1038</v>
      </c>
      <c r="D216" t="s">
        <v>144</v>
      </c>
      <c r="F216" t="s">
        <v>145</v>
      </c>
    </row>
    <row r="217" spans="1:6">
      <c r="A217" t="s">
        <v>1099</v>
      </c>
      <c r="B217" t="s">
        <v>924</v>
      </c>
      <c r="C217" t="s">
        <v>1051</v>
      </c>
      <c r="D217" t="s">
        <v>144</v>
      </c>
      <c r="F217" t="s">
        <v>145</v>
      </c>
    </row>
    <row r="218" spans="1:6">
      <c r="A218" t="s">
        <v>1099</v>
      </c>
      <c r="B218" t="s">
        <v>924</v>
      </c>
      <c r="C218" t="s">
        <v>1025</v>
      </c>
      <c r="D218" t="s">
        <v>144</v>
      </c>
      <c r="F218" t="s">
        <v>145</v>
      </c>
    </row>
    <row r="219" spans="1:6">
      <c r="A219" t="s">
        <v>1099</v>
      </c>
      <c r="B219" t="s">
        <v>158</v>
      </c>
      <c r="C219" t="s">
        <v>1014</v>
      </c>
      <c r="D219" t="s">
        <v>217</v>
      </c>
      <c r="F219" t="s">
        <v>145</v>
      </c>
    </row>
    <row r="220" spans="1:6">
      <c r="A220" t="s">
        <v>1099</v>
      </c>
      <c r="B220" t="s">
        <v>158</v>
      </c>
      <c r="C220" t="s">
        <v>115</v>
      </c>
      <c r="D220" t="s">
        <v>217</v>
      </c>
      <c r="F220" t="s">
        <v>145</v>
      </c>
    </row>
    <row r="221" spans="1:6">
      <c r="A221" t="s">
        <v>1099</v>
      </c>
      <c r="B221" t="s">
        <v>158</v>
      </c>
      <c r="C221" t="s">
        <v>969</v>
      </c>
      <c r="D221" t="s">
        <v>217</v>
      </c>
      <c r="F221" t="s">
        <v>145</v>
      </c>
    </row>
    <row r="222" spans="1:6">
      <c r="A222" t="s">
        <v>1099</v>
      </c>
      <c r="B222" t="s">
        <v>158</v>
      </c>
      <c r="C222" s="2" t="s">
        <v>887</v>
      </c>
      <c r="D222" s="2" t="s">
        <v>836</v>
      </c>
      <c r="F222" t="s">
        <v>337</v>
      </c>
    </row>
    <row r="223" spans="1:6">
      <c r="A223" t="s">
        <v>1099</v>
      </c>
      <c r="B223" t="s">
        <v>158</v>
      </c>
      <c r="C223" t="s">
        <v>112</v>
      </c>
      <c r="D223" t="s">
        <v>217</v>
      </c>
      <c r="F223" t="s">
        <v>145</v>
      </c>
    </row>
    <row r="224" spans="1:6">
      <c r="A224" t="s">
        <v>1099</v>
      </c>
      <c r="B224" t="s">
        <v>158</v>
      </c>
      <c r="C224" t="s">
        <v>1073</v>
      </c>
      <c r="D224" t="s">
        <v>217</v>
      </c>
      <c r="F224" t="s">
        <v>145</v>
      </c>
    </row>
    <row r="225" spans="1:6">
      <c r="A225" t="s">
        <v>1099</v>
      </c>
      <c r="B225" t="s">
        <v>158</v>
      </c>
      <c r="C225" t="s">
        <v>257</v>
      </c>
      <c r="D225" s="2" t="s">
        <v>160</v>
      </c>
      <c r="F225" t="s">
        <v>145</v>
      </c>
    </row>
    <row r="226" spans="1:6">
      <c r="A226" t="s">
        <v>1099</v>
      </c>
      <c r="B226" t="s">
        <v>158</v>
      </c>
      <c r="C226" t="s">
        <v>69</v>
      </c>
      <c r="D226" s="2" t="s">
        <v>1098</v>
      </c>
      <c r="F226" t="s">
        <v>145</v>
      </c>
    </row>
    <row r="227" spans="1:6">
      <c r="A227" t="s">
        <v>1255</v>
      </c>
      <c r="B227" t="s">
        <v>1256</v>
      </c>
      <c r="C227" t="s">
        <v>127</v>
      </c>
      <c r="D227" t="s">
        <v>164</v>
      </c>
      <c r="E227" t="s">
        <v>1257</v>
      </c>
      <c r="F227" t="s">
        <v>145</v>
      </c>
    </row>
    <row r="228" spans="1:6">
      <c r="A228" t="s">
        <v>1255</v>
      </c>
      <c r="B228" t="s">
        <v>1256</v>
      </c>
      <c r="C228" t="s">
        <v>1128</v>
      </c>
      <c r="D228" t="s">
        <v>144</v>
      </c>
      <c r="E228" t="s">
        <v>1257</v>
      </c>
      <c r="F228" t="s">
        <v>145</v>
      </c>
    </row>
    <row r="229" spans="1:6">
      <c r="A229" t="s">
        <v>1255</v>
      </c>
      <c r="B229" t="s">
        <v>1256</v>
      </c>
      <c r="C229" t="s">
        <v>1113</v>
      </c>
      <c r="D229" t="s">
        <v>144</v>
      </c>
      <c r="E229" t="s">
        <v>1257</v>
      </c>
      <c r="F229" t="s">
        <v>145</v>
      </c>
    </row>
    <row r="230" spans="1:6">
      <c r="A230" t="s">
        <v>1255</v>
      </c>
      <c r="B230" t="s">
        <v>1256</v>
      </c>
      <c r="C230" t="s">
        <v>1122</v>
      </c>
      <c r="D230" t="s">
        <v>144</v>
      </c>
      <c r="E230" t="s">
        <v>1257</v>
      </c>
      <c r="F230" t="s">
        <v>145</v>
      </c>
    </row>
    <row r="231" spans="1:6">
      <c r="A231" t="s">
        <v>1255</v>
      </c>
      <c r="B231" t="s">
        <v>1256</v>
      </c>
      <c r="C231" t="s">
        <v>1110</v>
      </c>
      <c r="D231" t="s">
        <v>144</v>
      </c>
      <c r="E231" t="s">
        <v>1257</v>
      </c>
      <c r="F231" t="s">
        <v>145</v>
      </c>
    </row>
    <row r="232" spans="1:6">
      <c r="A232" t="s">
        <v>1255</v>
      </c>
      <c r="B232" t="s">
        <v>1256</v>
      </c>
      <c r="C232" t="s">
        <v>1016</v>
      </c>
      <c r="D232" t="s">
        <v>164</v>
      </c>
      <c r="E232" t="s">
        <v>1258</v>
      </c>
      <c r="F232" t="s">
        <v>145</v>
      </c>
    </row>
    <row r="233" spans="1:6">
      <c r="A233" t="s">
        <v>1255</v>
      </c>
      <c r="B233" t="s">
        <v>1256</v>
      </c>
      <c r="C233" t="s">
        <v>1121</v>
      </c>
      <c r="D233" t="s">
        <v>144</v>
      </c>
      <c r="E233" t="s">
        <v>1258</v>
      </c>
      <c r="F233" t="s">
        <v>145</v>
      </c>
    </row>
    <row r="234" spans="1:6">
      <c r="A234" t="s">
        <v>1255</v>
      </c>
      <c r="B234" t="s">
        <v>1256</v>
      </c>
      <c r="C234" t="s">
        <v>1104</v>
      </c>
      <c r="D234" t="s">
        <v>144</v>
      </c>
      <c r="E234" t="s">
        <v>1258</v>
      </c>
      <c r="F234" t="s">
        <v>145</v>
      </c>
    </row>
    <row r="235" spans="1:6">
      <c r="A235" t="s">
        <v>1255</v>
      </c>
      <c r="B235" t="s">
        <v>1256</v>
      </c>
      <c r="C235" t="s">
        <v>1120</v>
      </c>
      <c r="D235" t="s">
        <v>144</v>
      </c>
      <c r="E235" t="s">
        <v>1258</v>
      </c>
      <c r="F235" t="s">
        <v>145</v>
      </c>
    </row>
    <row r="236" spans="1:6">
      <c r="A236" t="s">
        <v>1255</v>
      </c>
      <c r="B236" t="s">
        <v>158</v>
      </c>
      <c r="C236" t="s">
        <v>1161</v>
      </c>
      <c r="D236" t="s">
        <v>160</v>
      </c>
      <c r="F236" t="s">
        <v>145</v>
      </c>
    </row>
    <row r="237" spans="1:6">
      <c r="A237" t="s">
        <v>1255</v>
      </c>
      <c r="B237" t="s">
        <v>158</v>
      </c>
      <c r="C237" t="s">
        <v>69</v>
      </c>
      <c r="D237" t="s">
        <v>1098</v>
      </c>
      <c r="F237" t="s">
        <v>145</v>
      </c>
    </row>
    <row r="238" spans="1:6">
      <c r="A238" t="s">
        <v>1255</v>
      </c>
      <c r="B238" t="s">
        <v>158</v>
      </c>
      <c r="C238" t="s">
        <v>1014</v>
      </c>
      <c r="D238" t="s">
        <v>162</v>
      </c>
      <c r="F238" t="s">
        <v>145</v>
      </c>
    </row>
    <row r="239" spans="1:6">
      <c r="A239" t="s">
        <v>1255</v>
      </c>
      <c r="B239" t="s">
        <v>158</v>
      </c>
      <c r="C239" t="s">
        <v>1073</v>
      </c>
      <c r="D239" t="s">
        <v>217</v>
      </c>
      <c r="F239" t="s">
        <v>145</v>
      </c>
    </row>
    <row r="240" spans="1:6">
      <c r="A240" t="s">
        <v>1255</v>
      </c>
      <c r="B240" t="s">
        <v>158</v>
      </c>
      <c r="C240" t="s">
        <v>112</v>
      </c>
      <c r="D240" t="s">
        <v>217</v>
      </c>
      <c r="F240" t="s">
        <v>145</v>
      </c>
    </row>
    <row r="241" spans="1:6">
      <c r="A241" t="s">
        <v>1136</v>
      </c>
      <c r="B241" t="s">
        <v>1124</v>
      </c>
      <c r="C241" t="s">
        <v>127</v>
      </c>
      <c r="D241" t="s">
        <v>217</v>
      </c>
      <c r="E241" t="s">
        <v>1137</v>
      </c>
      <c r="F241" t="s">
        <v>145</v>
      </c>
    </row>
    <row r="242" spans="1:6">
      <c r="A242" t="s">
        <v>1136</v>
      </c>
      <c r="B242" t="s">
        <v>1124</v>
      </c>
      <c r="C242" t="s">
        <v>1127</v>
      </c>
      <c r="D242" t="s">
        <v>164</v>
      </c>
      <c r="E242" t="s">
        <v>1137</v>
      </c>
      <c r="F242" t="s">
        <v>145</v>
      </c>
    </row>
    <row r="243" spans="1:6">
      <c r="A243" t="s">
        <v>1136</v>
      </c>
      <c r="B243" t="s">
        <v>1124</v>
      </c>
      <c r="C243" t="s">
        <v>1138</v>
      </c>
      <c r="D243" t="s">
        <v>144</v>
      </c>
      <c r="E243" t="s">
        <v>1137</v>
      </c>
      <c r="F243" t="s">
        <v>145</v>
      </c>
    </row>
    <row r="244" spans="1:6">
      <c r="A244" t="s">
        <v>1136</v>
      </c>
      <c r="B244" t="s">
        <v>1124</v>
      </c>
      <c r="C244" t="s">
        <v>1139</v>
      </c>
      <c r="D244" t="s">
        <v>144</v>
      </c>
      <c r="E244" t="s">
        <v>1137</v>
      </c>
      <c r="F244" t="s">
        <v>145</v>
      </c>
    </row>
    <row r="245" spans="1:6">
      <c r="A245" t="s">
        <v>1136</v>
      </c>
      <c r="B245" t="s">
        <v>1124</v>
      </c>
      <c r="C245" t="s">
        <v>1140</v>
      </c>
      <c r="D245" t="s">
        <v>144</v>
      </c>
      <c r="E245" t="s">
        <v>1137</v>
      </c>
      <c r="F245" t="s">
        <v>145</v>
      </c>
    </row>
    <row r="246" spans="1:6">
      <c r="A246" t="s">
        <v>1136</v>
      </c>
      <c r="B246" t="s">
        <v>1124</v>
      </c>
      <c r="C246" t="s">
        <v>1141</v>
      </c>
      <c r="D246" t="s">
        <v>144</v>
      </c>
      <c r="E246" t="s">
        <v>1137</v>
      </c>
      <c r="F246" t="s">
        <v>145</v>
      </c>
    </row>
    <row r="247" spans="1:6">
      <c r="A247" t="s">
        <v>1136</v>
      </c>
      <c r="B247" t="s">
        <v>1124</v>
      </c>
      <c r="C247" t="s">
        <v>1142</v>
      </c>
      <c r="D247" t="s">
        <v>144</v>
      </c>
      <c r="E247" t="s">
        <v>1137</v>
      </c>
      <c r="F247" t="s">
        <v>145</v>
      </c>
    </row>
    <row r="248" spans="1:6">
      <c r="A248" t="s">
        <v>1136</v>
      </c>
      <c r="B248" t="s">
        <v>1143</v>
      </c>
      <c r="C248" t="s">
        <v>1014</v>
      </c>
      <c r="D248" t="s">
        <v>217</v>
      </c>
      <c r="E248" t="s">
        <v>1144</v>
      </c>
      <c r="F248" t="s">
        <v>145</v>
      </c>
    </row>
    <row r="249" spans="1:6">
      <c r="A249" t="s">
        <v>1136</v>
      </c>
      <c r="B249" t="s">
        <v>535</v>
      </c>
      <c r="C249" t="s">
        <v>1110</v>
      </c>
      <c r="D249" t="s">
        <v>164</v>
      </c>
      <c r="E249" t="s">
        <v>1144</v>
      </c>
      <c r="F249" t="s">
        <v>145</v>
      </c>
    </row>
    <row r="250" spans="1:6">
      <c r="A250" t="s">
        <v>1136</v>
      </c>
      <c r="B250" t="s">
        <v>535</v>
      </c>
      <c r="C250" t="s">
        <v>1145</v>
      </c>
      <c r="D250" t="s">
        <v>144</v>
      </c>
      <c r="E250" t="s">
        <v>1144</v>
      </c>
      <c r="F250" t="s">
        <v>145</v>
      </c>
    </row>
    <row r="251" spans="1:6">
      <c r="A251" t="s">
        <v>1136</v>
      </c>
      <c r="B251" t="s">
        <v>535</v>
      </c>
      <c r="C251" t="s">
        <v>1146</v>
      </c>
      <c r="D251" t="s">
        <v>144</v>
      </c>
      <c r="E251" t="s">
        <v>1144</v>
      </c>
      <c r="F251" t="s">
        <v>145</v>
      </c>
    </row>
    <row r="252" spans="1:6">
      <c r="A252" t="s">
        <v>1136</v>
      </c>
      <c r="B252" t="s">
        <v>535</v>
      </c>
      <c r="C252" t="s">
        <v>1147</v>
      </c>
      <c r="D252" t="s">
        <v>144</v>
      </c>
      <c r="E252" t="s">
        <v>1144</v>
      </c>
      <c r="F252" t="s">
        <v>145</v>
      </c>
    </row>
    <row r="253" spans="1:6">
      <c r="A253" t="s">
        <v>1136</v>
      </c>
      <c r="B253" t="s">
        <v>535</v>
      </c>
      <c r="C253" t="s">
        <v>1148</v>
      </c>
      <c r="D253" t="s">
        <v>144</v>
      </c>
      <c r="E253" t="s">
        <v>1144</v>
      </c>
      <c r="F253" t="s">
        <v>145</v>
      </c>
    </row>
    <row r="254" spans="1:6">
      <c r="A254" t="s">
        <v>1136</v>
      </c>
      <c r="B254" t="s">
        <v>542</v>
      </c>
      <c r="C254" t="s">
        <v>1113</v>
      </c>
      <c r="D254" t="s">
        <v>164</v>
      </c>
      <c r="E254" t="s">
        <v>1144</v>
      </c>
      <c r="F254" t="s">
        <v>145</v>
      </c>
    </row>
    <row r="255" spans="1:6">
      <c r="A255" t="s">
        <v>1136</v>
      </c>
      <c r="B255" t="s">
        <v>542</v>
      </c>
      <c r="C255" t="s">
        <v>1149</v>
      </c>
      <c r="D255" t="s">
        <v>144</v>
      </c>
      <c r="E255" t="s">
        <v>1144</v>
      </c>
      <c r="F255" t="s">
        <v>145</v>
      </c>
    </row>
    <row r="256" spans="1:6">
      <c r="A256" t="s">
        <v>1136</v>
      </c>
      <c r="B256" t="s">
        <v>542</v>
      </c>
      <c r="C256" t="s">
        <v>1150</v>
      </c>
      <c r="D256" t="s">
        <v>144</v>
      </c>
      <c r="E256" t="s">
        <v>1144</v>
      </c>
      <c r="F256" t="s">
        <v>145</v>
      </c>
    </row>
    <row r="257" spans="1:6">
      <c r="A257" t="s">
        <v>1136</v>
      </c>
      <c r="B257" t="s">
        <v>542</v>
      </c>
      <c r="C257" t="s">
        <v>1151</v>
      </c>
      <c r="D257" t="s">
        <v>144</v>
      </c>
      <c r="E257" t="s">
        <v>1144</v>
      </c>
      <c r="F257" t="s">
        <v>145</v>
      </c>
    </row>
    <row r="258" spans="1:6">
      <c r="A258" t="s">
        <v>1136</v>
      </c>
      <c r="B258" t="s">
        <v>542</v>
      </c>
      <c r="C258" t="s">
        <v>1152</v>
      </c>
      <c r="D258" t="s">
        <v>144</v>
      </c>
      <c r="E258" t="s">
        <v>1144</v>
      </c>
      <c r="F258" t="s">
        <v>145</v>
      </c>
    </row>
    <row r="259" spans="1:6">
      <c r="A259" t="s">
        <v>1136</v>
      </c>
      <c r="B259" t="s">
        <v>542</v>
      </c>
      <c r="C259" t="s">
        <v>1153</v>
      </c>
      <c r="D259" t="s">
        <v>144</v>
      </c>
      <c r="E259" t="s">
        <v>1144</v>
      </c>
      <c r="F259" t="s">
        <v>145</v>
      </c>
    </row>
    <row r="260" spans="1:6">
      <c r="A260" t="s">
        <v>1136</v>
      </c>
      <c r="B260" t="s">
        <v>1154</v>
      </c>
      <c r="C260" t="s">
        <v>1073</v>
      </c>
      <c r="D260" t="s">
        <v>217</v>
      </c>
      <c r="E260" t="s">
        <v>1155</v>
      </c>
      <c r="F260" t="s">
        <v>145</v>
      </c>
    </row>
    <row r="261" spans="1:6">
      <c r="A261" t="s">
        <v>1136</v>
      </c>
      <c r="B261" t="s">
        <v>1154</v>
      </c>
      <c r="C261" t="s">
        <v>1104</v>
      </c>
      <c r="D261" t="s">
        <v>164</v>
      </c>
      <c r="E261" t="s">
        <v>1155</v>
      </c>
      <c r="F261" t="s">
        <v>145</v>
      </c>
    </row>
    <row r="262" spans="1:6">
      <c r="A262" t="s">
        <v>1136</v>
      </c>
      <c r="B262" t="s">
        <v>1154</v>
      </c>
      <c r="C262" t="s">
        <v>1156</v>
      </c>
      <c r="D262" t="s">
        <v>144</v>
      </c>
      <c r="E262" t="s">
        <v>1155</v>
      </c>
      <c r="F262" t="s">
        <v>145</v>
      </c>
    </row>
    <row r="263" spans="1:6">
      <c r="A263" t="s">
        <v>1136</v>
      </c>
      <c r="B263" t="s">
        <v>1154</v>
      </c>
      <c r="C263" t="s">
        <v>1157</v>
      </c>
      <c r="D263" t="s">
        <v>144</v>
      </c>
      <c r="E263" t="s">
        <v>1155</v>
      </c>
      <c r="F263" t="s">
        <v>145</v>
      </c>
    </row>
    <row r="264" spans="1:6">
      <c r="A264" t="s">
        <v>1136</v>
      </c>
      <c r="B264" t="s">
        <v>1154</v>
      </c>
      <c r="C264" t="s">
        <v>1158</v>
      </c>
      <c r="D264" t="s">
        <v>144</v>
      </c>
      <c r="E264" t="s">
        <v>1155</v>
      </c>
      <c r="F264" t="s">
        <v>145</v>
      </c>
    </row>
    <row r="265" spans="1:6">
      <c r="A265" t="s">
        <v>1136</v>
      </c>
      <c r="B265" t="s">
        <v>1154</v>
      </c>
      <c r="C265" t="s">
        <v>1159</v>
      </c>
      <c r="D265" t="s">
        <v>144</v>
      </c>
      <c r="E265" t="s">
        <v>1155</v>
      </c>
      <c r="F265" t="s">
        <v>145</v>
      </c>
    </row>
    <row r="266" spans="1:6">
      <c r="A266" t="s">
        <v>1136</v>
      </c>
      <c r="B266" t="s">
        <v>1154</v>
      </c>
      <c r="C266" t="s">
        <v>1160</v>
      </c>
      <c r="D266" t="s">
        <v>144</v>
      </c>
      <c r="E266" t="s">
        <v>1155</v>
      </c>
      <c r="F266" t="s">
        <v>145</v>
      </c>
    </row>
    <row r="267" spans="1:6">
      <c r="A267" t="s">
        <v>1136</v>
      </c>
      <c r="B267" t="s">
        <v>924</v>
      </c>
      <c r="C267" t="s">
        <v>1038</v>
      </c>
      <c r="D267" t="s">
        <v>217</v>
      </c>
      <c r="F267" t="s">
        <v>145</v>
      </c>
    </row>
    <row r="268" spans="1:6">
      <c r="A268" t="s">
        <v>1136</v>
      </c>
      <c r="B268" t="s">
        <v>924</v>
      </c>
      <c r="C268" t="s">
        <v>1052</v>
      </c>
      <c r="D268" t="s">
        <v>164</v>
      </c>
      <c r="F268" t="s">
        <v>145</v>
      </c>
    </row>
    <row r="269" spans="1:6">
      <c r="A269" t="s">
        <v>1136</v>
      </c>
      <c r="B269" t="s">
        <v>924</v>
      </c>
      <c r="C269" t="s">
        <v>1120</v>
      </c>
      <c r="D269" t="s">
        <v>144</v>
      </c>
      <c r="F269" t="s">
        <v>145</v>
      </c>
    </row>
    <row r="270" spans="1:6">
      <c r="A270" t="s">
        <v>1136</v>
      </c>
      <c r="B270" t="s">
        <v>924</v>
      </c>
      <c r="C270" t="s">
        <v>1135</v>
      </c>
      <c r="D270" t="s">
        <v>144</v>
      </c>
      <c r="F270" t="s">
        <v>145</v>
      </c>
    </row>
    <row r="271" spans="1:6">
      <c r="A271" t="s">
        <v>1136</v>
      </c>
      <c r="B271" t="s">
        <v>924</v>
      </c>
      <c r="C271" t="s">
        <v>1121</v>
      </c>
      <c r="D271" t="s">
        <v>144</v>
      </c>
      <c r="F271" t="s">
        <v>145</v>
      </c>
    </row>
    <row r="272" spans="1:6">
      <c r="A272" t="s">
        <v>1136</v>
      </c>
      <c r="B272" t="s">
        <v>924</v>
      </c>
      <c r="C272" t="s">
        <v>1122</v>
      </c>
      <c r="D272" t="s">
        <v>144</v>
      </c>
      <c r="F272" t="s">
        <v>145</v>
      </c>
    </row>
    <row r="273" spans="1:6">
      <c r="A273" t="s">
        <v>1136</v>
      </c>
      <c r="B273" t="s">
        <v>924</v>
      </c>
      <c r="C273" t="s">
        <v>1108</v>
      </c>
      <c r="D273" t="s">
        <v>144</v>
      </c>
      <c r="F273" t="s">
        <v>145</v>
      </c>
    </row>
    <row r="274" spans="1:6">
      <c r="A274" t="s">
        <v>1136</v>
      </c>
      <c r="B274" t="s">
        <v>158</v>
      </c>
      <c r="C274" s="2" t="s">
        <v>887</v>
      </c>
      <c r="D274" s="2" t="s">
        <v>836</v>
      </c>
      <c r="F274" t="s">
        <v>337</v>
      </c>
    </row>
    <row r="275" spans="1:6">
      <c r="A275" t="s">
        <v>1136</v>
      </c>
      <c r="B275" t="s">
        <v>158</v>
      </c>
      <c r="C275" t="s">
        <v>69</v>
      </c>
      <c r="D275" s="2" t="s">
        <v>1098</v>
      </c>
      <c r="F275" t="s">
        <v>145</v>
      </c>
    </row>
    <row r="276" spans="1:6">
      <c r="A276" t="s">
        <v>1136</v>
      </c>
      <c r="B276" t="s">
        <v>158</v>
      </c>
      <c r="C276" t="s">
        <v>1161</v>
      </c>
      <c r="D276" t="s">
        <v>160</v>
      </c>
      <c r="F276" t="s">
        <v>145</v>
      </c>
    </row>
    <row r="277" spans="1:6">
      <c r="A277" t="s">
        <v>1136</v>
      </c>
      <c r="B277" t="s">
        <v>158</v>
      </c>
      <c r="C277" t="s">
        <v>1038</v>
      </c>
      <c r="D277" t="s">
        <v>217</v>
      </c>
      <c r="F277" t="s">
        <v>145</v>
      </c>
    </row>
    <row r="278" spans="1:6">
      <c r="A278" t="s">
        <v>1136</v>
      </c>
      <c r="B278" t="s">
        <v>158</v>
      </c>
      <c r="C278" t="s">
        <v>1014</v>
      </c>
      <c r="D278" t="s">
        <v>162</v>
      </c>
      <c r="F278" t="s">
        <v>145</v>
      </c>
    </row>
    <row r="279" spans="1:6">
      <c r="A279" t="s">
        <v>1136</v>
      </c>
      <c r="B279" t="s">
        <v>158</v>
      </c>
      <c r="C279" t="s">
        <v>1073</v>
      </c>
      <c r="D279" t="s">
        <v>217</v>
      </c>
      <c r="F279" t="s">
        <v>145</v>
      </c>
    </row>
    <row r="280" spans="1:6">
      <c r="A280" t="s">
        <v>1136</v>
      </c>
      <c r="B280" t="s">
        <v>158</v>
      </c>
      <c r="C280" t="s">
        <v>127</v>
      </c>
      <c r="D280" t="s">
        <v>217</v>
      </c>
      <c r="F280" t="s">
        <v>145</v>
      </c>
    </row>
  </sheetData>
  <sortState xmlns:xlrd2="http://schemas.microsoft.com/office/spreadsheetml/2017/richdata2" ref="A244:F274">
    <sortCondition ref="B244:B274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A391-01C2-4B1D-A453-56008BFFD90B}">
  <dimension ref="A1:F308"/>
  <sheetViews>
    <sheetView topLeftCell="A111" workbookViewId="0">
      <selection activeCell="A3" sqref="A3:F308"/>
    </sheetView>
  </sheetViews>
  <sheetFormatPr defaultColWidth="8.85546875" defaultRowHeight="15"/>
  <cols>
    <col min="1" max="1" width="11.28515625" bestFit="1" customWidth="1"/>
    <col min="2" max="2" width="10.42578125" customWidth="1"/>
    <col min="3" max="3" width="17.42578125" customWidth="1"/>
  </cols>
  <sheetData>
    <row r="1" spans="1:6" ht="33.950000000000003">
      <c r="A1" s="6" t="s">
        <v>1472</v>
      </c>
    </row>
    <row r="2" spans="1:6">
      <c r="A2" s="1" t="s">
        <v>11</v>
      </c>
      <c r="B2" s="1" t="s">
        <v>9</v>
      </c>
      <c r="C2" s="1" t="s">
        <v>12</v>
      </c>
      <c r="D2" s="1" t="s">
        <v>138</v>
      </c>
      <c r="E2" s="1" t="s">
        <v>139</v>
      </c>
      <c r="F2" s="1" t="s">
        <v>140</v>
      </c>
    </row>
    <row r="3" spans="1:6">
      <c r="A3" t="s">
        <v>1473</v>
      </c>
      <c r="B3" t="s">
        <v>1124</v>
      </c>
      <c r="C3" t="s">
        <v>57</v>
      </c>
      <c r="D3" t="s">
        <v>164</v>
      </c>
      <c r="F3" t="s">
        <v>145</v>
      </c>
    </row>
    <row r="4" spans="1:6">
      <c r="A4" t="s">
        <v>1473</v>
      </c>
      <c r="B4" t="s">
        <v>1124</v>
      </c>
      <c r="C4" t="s">
        <v>78</v>
      </c>
      <c r="D4" t="s">
        <v>144</v>
      </c>
      <c r="F4" t="s">
        <v>145</v>
      </c>
    </row>
    <row r="5" spans="1:6">
      <c r="A5" t="s">
        <v>1473</v>
      </c>
      <c r="B5" t="s">
        <v>1124</v>
      </c>
      <c r="C5" t="s">
        <v>79</v>
      </c>
      <c r="D5" t="s">
        <v>144</v>
      </c>
      <c r="F5" t="s">
        <v>145</v>
      </c>
    </row>
    <row r="6" spans="1:6">
      <c r="A6" t="s">
        <v>1473</v>
      </c>
      <c r="B6" t="s">
        <v>1124</v>
      </c>
      <c r="C6" t="s">
        <v>77</v>
      </c>
      <c r="D6" t="s">
        <v>144</v>
      </c>
      <c r="F6" t="s">
        <v>145</v>
      </c>
    </row>
    <row r="7" spans="1:6">
      <c r="A7" t="s">
        <v>1473</v>
      </c>
      <c r="B7" t="s">
        <v>1124</v>
      </c>
      <c r="C7" t="s">
        <v>72</v>
      </c>
      <c r="D7" t="s">
        <v>144</v>
      </c>
      <c r="F7" t="s">
        <v>145</v>
      </c>
    </row>
    <row r="8" spans="1:6">
      <c r="A8" t="s">
        <v>1473</v>
      </c>
      <c r="B8" t="s">
        <v>384</v>
      </c>
      <c r="C8" t="s">
        <v>775</v>
      </c>
      <c r="D8" t="s">
        <v>164</v>
      </c>
      <c r="F8" t="s">
        <v>145</v>
      </c>
    </row>
    <row r="9" spans="1:6">
      <c r="A9" t="s">
        <v>1473</v>
      </c>
      <c r="B9" t="s">
        <v>384</v>
      </c>
      <c r="C9" t="s">
        <v>801</v>
      </c>
      <c r="D9" t="s">
        <v>144</v>
      </c>
      <c r="F9" t="s">
        <v>145</v>
      </c>
    </row>
    <row r="10" spans="1:6">
      <c r="A10" t="s">
        <v>1473</v>
      </c>
      <c r="B10" t="s">
        <v>384</v>
      </c>
      <c r="C10" t="s">
        <v>802</v>
      </c>
      <c r="D10" t="s">
        <v>144</v>
      </c>
      <c r="F10" t="s">
        <v>145</v>
      </c>
    </row>
    <row r="11" spans="1:6">
      <c r="A11" t="s">
        <v>1473</v>
      </c>
      <c r="B11" t="s">
        <v>384</v>
      </c>
      <c r="C11" t="s">
        <v>803</v>
      </c>
      <c r="D11" t="s">
        <v>144</v>
      </c>
      <c r="F11" t="s">
        <v>145</v>
      </c>
    </row>
    <row r="12" spans="1:6">
      <c r="A12" t="s">
        <v>1473</v>
      </c>
      <c r="B12" t="s">
        <v>384</v>
      </c>
      <c r="C12" t="s">
        <v>804</v>
      </c>
      <c r="D12" t="s">
        <v>144</v>
      </c>
      <c r="F12" t="s">
        <v>145</v>
      </c>
    </row>
    <row r="13" spans="1:6">
      <c r="A13" t="s">
        <v>1473</v>
      </c>
      <c r="B13" t="s">
        <v>679</v>
      </c>
      <c r="C13" t="s">
        <v>781</v>
      </c>
      <c r="D13" t="s">
        <v>164</v>
      </c>
      <c r="F13" t="s">
        <v>145</v>
      </c>
    </row>
    <row r="14" spans="1:6">
      <c r="A14" t="s">
        <v>1473</v>
      </c>
      <c r="B14" t="s">
        <v>679</v>
      </c>
      <c r="C14" t="s">
        <v>805</v>
      </c>
      <c r="D14" t="s">
        <v>144</v>
      </c>
      <c r="F14" t="s">
        <v>145</v>
      </c>
    </row>
    <row r="15" spans="1:6">
      <c r="A15" t="s">
        <v>1473</v>
      </c>
      <c r="B15" t="s">
        <v>679</v>
      </c>
      <c r="C15" t="s">
        <v>806</v>
      </c>
      <c r="D15" t="s">
        <v>144</v>
      </c>
      <c r="F15" t="s">
        <v>145</v>
      </c>
    </row>
    <row r="16" spans="1:6">
      <c r="A16" t="s">
        <v>1473</v>
      </c>
      <c r="B16" t="s">
        <v>679</v>
      </c>
      <c r="C16" t="s">
        <v>807</v>
      </c>
      <c r="D16" t="s">
        <v>144</v>
      </c>
      <c r="F16" t="s">
        <v>145</v>
      </c>
    </row>
    <row r="17" spans="1:6">
      <c r="A17" t="s">
        <v>1473</v>
      </c>
      <c r="B17" t="s">
        <v>535</v>
      </c>
      <c r="C17" t="s">
        <v>56</v>
      </c>
      <c r="D17" t="s">
        <v>164</v>
      </c>
      <c r="F17" t="s">
        <v>145</v>
      </c>
    </row>
    <row r="18" spans="1:6">
      <c r="A18" t="s">
        <v>1473</v>
      </c>
      <c r="B18" t="s">
        <v>535</v>
      </c>
      <c r="C18" t="s">
        <v>808</v>
      </c>
      <c r="D18" t="s">
        <v>144</v>
      </c>
      <c r="F18" t="s">
        <v>145</v>
      </c>
    </row>
    <row r="19" spans="1:6">
      <c r="A19" t="s">
        <v>1473</v>
      </c>
      <c r="B19" t="s">
        <v>535</v>
      </c>
      <c r="C19" t="s">
        <v>809</v>
      </c>
      <c r="D19" t="s">
        <v>144</v>
      </c>
      <c r="F19" t="s">
        <v>145</v>
      </c>
    </row>
    <row r="20" spans="1:6">
      <c r="A20" t="s">
        <v>1473</v>
      </c>
      <c r="B20" t="s">
        <v>535</v>
      </c>
      <c r="C20" t="s">
        <v>810</v>
      </c>
      <c r="D20" t="s">
        <v>144</v>
      </c>
      <c r="F20" t="s">
        <v>145</v>
      </c>
    </row>
    <row r="21" spans="1:6">
      <c r="A21" t="s">
        <v>1473</v>
      </c>
      <c r="B21" t="s">
        <v>535</v>
      </c>
      <c r="C21" t="s">
        <v>811</v>
      </c>
      <c r="D21" t="s">
        <v>144</v>
      </c>
      <c r="F21" t="s">
        <v>145</v>
      </c>
    </row>
    <row r="22" spans="1:6">
      <c r="A22" t="s">
        <v>1473</v>
      </c>
      <c r="B22" t="s">
        <v>542</v>
      </c>
      <c r="C22" t="s">
        <v>790</v>
      </c>
      <c r="D22" t="s">
        <v>164</v>
      </c>
      <c r="F22" t="s">
        <v>145</v>
      </c>
    </row>
    <row r="23" spans="1:6">
      <c r="A23" t="s">
        <v>1473</v>
      </c>
      <c r="B23" t="s">
        <v>542</v>
      </c>
      <c r="C23" t="s">
        <v>812</v>
      </c>
      <c r="D23" t="s">
        <v>144</v>
      </c>
      <c r="F23" t="s">
        <v>145</v>
      </c>
    </row>
    <row r="24" spans="1:6">
      <c r="A24" t="s">
        <v>1473</v>
      </c>
      <c r="B24" t="s">
        <v>542</v>
      </c>
      <c r="C24" t="s">
        <v>813</v>
      </c>
      <c r="D24" t="s">
        <v>144</v>
      </c>
      <c r="F24" t="s">
        <v>145</v>
      </c>
    </row>
    <row r="25" spans="1:6">
      <c r="A25" t="s">
        <v>1473</v>
      </c>
      <c r="B25" t="s">
        <v>542</v>
      </c>
      <c r="C25" t="s">
        <v>814</v>
      </c>
      <c r="D25" t="s">
        <v>144</v>
      </c>
      <c r="F25" t="s">
        <v>145</v>
      </c>
    </row>
    <row r="26" spans="1:6">
      <c r="A26" t="s">
        <v>1473</v>
      </c>
      <c r="B26" t="s">
        <v>542</v>
      </c>
      <c r="C26" t="s">
        <v>789</v>
      </c>
      <c r="D26" t="s">
        <v>144</v>
      </c>
      <c r="F26" t="s">
        <v>145</v>
      </c>
    </row>
    <row r="27" spans="1:6">
      <c r="A27" t="s">
        <v>1473</v>
      </c>
      <c r="B27" t="s">
        <v>1118</v>
      </c>
      <c r="C27" s="4"/>
      <c r="D27" t="s">
        <v>164</v>
      </c>
      <c r="F27" t="s">
        <v>145</v>
      </c>
    </row>
    <row r="28" spans="1:6">
      <c r="A28" t="s">
        <v>1473</v>
      </c>
      <c r="B28" t="s">
        <v>1118</v>
      </c>
      <c r="C28" t="s">
        <v>815</v>
      </c>
      <c r="D28" t="s">
        <v>144</v>
      </c>
      <c r="F28" t="s">
        <v>145</v>
      </c>
    </row>
    <row r="29" spans="1:6">
      <c r="A29" t="s">
        <v>1473</v>
      </c>
      <c r="B29" t="s">
        <v>1118</v>
      </c>
      <c r="C29" t="s">
        <v>816</v>
      </c>
      <c r="D29" t="s">
        <v>144</v>
      </c>
      <c r="F29" t="s">
        <v>145</v>
      </c>
    </row>
    <row r="30" spans="1:6">
      <c r="A30" t="s">
        <v>1473</v>
      </c>
      <c r="B30" t="s">
        <v>1118</v>
      </c>
      <c r="C30" t="s">
        <v>817</v>
      </c>
      <c r="D30" t="s">
        <v>144</v>
      </c>
      <c r="F30" t="s">
        <v>145</v>
      </c>
    </row>
    <row r="31" spans="1:6">
      <c r="A31" t="s">
        <v>1473</v>
      </c>
      <c r="B31" t="s">
        <v>1118</v>
      </c>
      <c r="C31" t="s">
        <v>818</v>
      </c>
      <c r="D31" t="s">
        <v>144</v>
      </c>
      <c r="F31" t="s">
        <v>145</v>
      </c>
    </row>
    <row r="32" spans="1:6">
      <c r="A32" t="s">
        <v>1473</v>
      </c>
      <c r="B32" t="s">
        <v>1118</v>
      </c>
      <c r="C32" t="s">
        <v>750</v>
      </c>
      <c r="D32" t="s">
        <v>144</v>
      </c>
      <c r="F32" t="s">
        <v>145</v>
      </c>
    </row>
    <row r="33" spans="1:6">
      <c r="A33" t="s">
        <v>1473</v>
      </c>
      <c r="B33" t="s">
        <v>158</v>
      </c>
      <c r="C33" t="s">
        <v>563</v>
      </c>
      <c r="D33" t="s">
        <v>1474</v>
      </c>
      <c r="F33" t="s">
        <v>145</v>
      </c>
    </row>
    <row r="34" spans="1:6">
      <c r="A34" t="s">
        <v>1473</v>
      </c>
      <c r="B34" t="s">
        <v>158</v>
      </c>
      <c r="C34" t="s">
        <v>742</v>
      </c>
      <c r="D34" t="s">
        <v>1474</v>
      </c>
      <c r="F34" t="s">
        <v>145</v>
      </c>
    </row>
    <row r="35" spans="1:6">
      <c r="A35" t="s">
        <v>1473</v>
      </c>
      <c r="B35" t="s">
        <v>158</v>
      </c>
      <c r="C35" t="s">
        <v>623</v>
      </c>
      <c r="D35" t="s">
        <v>1474</v>
      </c>
      <c r="F35" t="s">
        <v>145</v>
      </c>
    </row>
    <row r="36" spans="1:6">
      <c r="A36" t="s">
        <v>1473</v>
      </c>
      <c r="B36" t="s">
        <v>158</v>
      </c>
      <c r="C36" t="s">
        <v>257</v>
      </c>
      <c r="D36" t="s">
        <v>160</v>
      </c>
      <c r="F36" t="s">
        <v>145</v>
      </c>
    </row>
    <row r="37" spans="1:6">
      <c r="A37" t="s">
        <v>1473</v>
      </c>
      <c r="B37" t="s">
        <v>158</v>
      </c>
      <c r="C37" t="s">
        <v>408</v>
      </c>
      <c r="D37" t="s">
        <v>409</v>
      </c>
      <c r="F37" t="s">
        <v>145</v>
      </c>
    </row>
    <row r="38" spans="1:6">
      <c r="A38" t="s">
        <v>1473</v>
      </c>
      <c r="B38" t="s">
        <v>158</v>
      </c>
      <c r="C38" s="4"/>
    </row>
    <row r="39" spans="1:6">
      <c r="A39" t="s">
        <v>1475</v>
      </c>
      <c r="B39" t="s">
        <v>1124</v>
      </c>
      <c r="C39" t="s">
        <v>69</v>
      </c>
      <c r="D39" t="s">
        <v>217</v>
      </c>
      <c r="F39" t="s">
        <v>145</v>
      </c>
    </row>
    <row r="40" spans="1:6">
      <c r="A40" t="s">
        <v>1475</v>
      </c>
      <c r="B40" t="s">
        <v>1124</v>
      </c>
      <c r="C40" t="s">
        <v>72</v>
      </c>
      <c r="D40" t="s">
        <v>164</v>
      </c>
      <c r="F40" t="s">
        <v>145</v>
      </c>
    </row>
    <row r="41" spans="1:6">
      <c r="A41" t="s">
        <v>1475</v>
      </c>
      <c r="B41" t="s">
        <v>1124</v>
      </c>
      <c r="C41" t="s">
        <v>73</v>
      </c>
      <c r="D41" t="s">
        <v>144</v>
      </c>
      <c r="F41" t="s">
        <v>145</v>
      </c>
    </row>
    <row r="42" spans="1:6">
      <c r="A42" t="s">
        <v>1475</v>
      </c>
      <c r="B42" t="s">
        <v>1124</v>
      </c>
      <c r="C42" t="s">
        <v>70</v>
      </c>
      <c r="D42" t="s">
        <v>144</v>
      </c>
      <c r="F42" t="s">
        <v>145</v>
      </c>
    </row>
    <row r="43" spans="1:6">
      <c r="A43" t="s">
        <v>1475</v>
      </c>
      <c r="B43" t="s">
        <v>1124</v>
      </c>
      <c r="C43" t="s">
        <v>74</v>
      </c>
      <c r="D43" t="s">
        <v>144</v>
      </c>
      <c r="F43" t="s">
        <v>145</v>
      </c>
    </row>
    <row r="44" spans="1:6">
      <c r="A44" t="s">
        <v>1475</v>
      </c>
      <c r="B44" t="s">
        <v>1124</v>
      </c>
      <c r="C44" t="s">
        <v>71</v>
      </c>
      <c r="D44" t="s">
        <v>144</v>
      </c>
      <c r="F44" t="s">
        <v>145</v>
      </c>
    </row>
    <row r="45" spans="1:6">
      <c r="A45" t="s">
        <v>1475</v>
      </c>
      <c r="B45" t="s">
        <v>384</v>
      </c>
      <c r="C45" t="s">
        <v>819</v>
      </c>
      <c r="D45" t="s">
        <v>144</v>
      </c>
      <c r="F45" t="s">
        <v>145</v>
      </c>
    </row>
    <row r="46" spans="1:6">
      <c r="A46" t="s">
        <v>1475</v>
      </c>
      <c r="B46" t="s">
        <v>384</v>
      </c>
      <c r="C46" t="s">
        <v>820</v>
      </c>
      <c r="D46" t="s">
        <v>144</v>
      </c>
      <c r="F46" t="s">
        <v>145</v>
      </c>
    </row>
    <row r="47" spans="1:6">
      <c r="A47" t="s">
        <v>1475</v>
      </c>
      <c r="B47" t="s">
        <v>384</v>
      </c>
      <c r="C47" t="s">
        <v>821</v>
      </c>
      <c r="D47" t="s">
        <v>144</v>
      </c>
      <c r="F47" t="s">
        <v>145</v>
      </c>
    </row>
    <row r="48" spans="1:6">
      <c r="A48" t="s">
        <v>1475</v>
      </c>
      <c r="B48" t="s">
        <v>679</v>
      </c>
      <c r="C48" t="s">
        <v>623</v>
      </c>
      <c r="D48" t="s">
        <v>217</v>
      </c>
      <c r="F48" t="s">
        <v>145</v>
      </c>
    </row>
    <row r="49" spans="1:6">
      <c r="A49" t="s">
        <v>1475</v>
      </c>
      <c r="B49" t="s">
        <v>679</v>
      </c>
      <c r="C49" t="s">
        <v>781</v>
      </c>
      <c r="D49" t="s">
        <v>164</v>
      </c>
      <c r="F49" t="s">
        <v>145</v>
      </c>
    </row>
    <row r="50" spans="1:6">
      <c r="A50" t="s">
        <v>1475</v>
      </c>
      <c r="B50" t="s">
        <v>679</v>
      </c>
      <c r="C50" t="s">
        <v>805</v>
      </c>
      <c r="D50" t="s">
        <v>144</v>
      </c>
      <c r="F50" t="s">
        <v>145</v>
      </c>
    </row>
    <row r="51" spans="1:6">
      <c r="A51" t="s">
        <v>1475</v>
      </c>
      <c r="B51" t="s">
        <v>679</v>
      </c>
      <c r="C51" t="s">
        <v>822</v>
      </c>
      <c r="D51" t="s">
        <v>144</v>
      </c>
      <c r="F51" t="s">
        <v>145</v>
      </c>
    </row>
    <row r="52" spans="1:6">
      <c r="A52" t="s">
        <v>1475</v>
      </c>
      <c r="B52" t="s">
        <v>679</v>
      </c>
      <c r="C52" t="s">
        <v>806</v>
      </c>
      <c r="D52" t="s">
        <v>144</v>
      </c>
      <c r="F52" t="s">
        <v>145</v>
      </c>
    </row>
    <row r="53" spans="1:6">
      <c r="A53" t="s">
        <v>1475</v>
      </c>
      <c r="B53" t="s">
        <v>1476</v>
      </c>
      <c r="C53" t="s">
        <v>790</v>
      </c>
      <c r="D53" t="s">
        <v>217</v>
      </c>
      <c r="F53" t="s">
        <v>145</v>
      </c>
    </row>
    <row r="54" spans="1:6">
      <c r="A54" t="s">
        <v>1475</v>
      </c>
      <c r="B54" t="s">
        <v>1476</v>
      </c>
      <c r="C54" t="s">
        <v>812</v>
      </c>
      <c r="D54" t="s">
        <v>164</v>
      </c>
      <c r="F54" t="s">
        <v>145</v>
      </c>
    </row>
    <row r="55" spans="1:6">
      <c r="A55" t="s">
        <v>1475</v>
      </c>
      <c r="B55" t="s">
        <v>1476</v>
      </c>
      <c r="C55" t="s">
        <v>823</v>
      </c>
      <c r="D55" t="s">
        <v>144</v>
      </c>
      <c r="F55" t="s">
        <v>145</v>
      </c>
    </row>
    <row r="56" spans="1:6">
      <c r="A56" t="s">
        <v>1475</v>
      </c>
      <c r="B56" t="s">
        <v>1476</v>
      </c>
      <c r="C56" t="s">
        <v>824</v>
      </c>
      <c r="D56" t="s">
        <v>144</v>
      </c>
      <c r="F56" t="s">
        <v>145</v>
      </c>
    </row>
    <row r="57" spans="1:6">
      <c r="A57" t="s">
        <v>1475</v>
      </c>
      <c r="B57" t="s">
        <v>1476</v>
      </c>
      <c r="C57" t="s">
        <v>825</v>
      </c>
      <c r="D57" t="s">
        <v>144</v>
      </c>
      <c r="F57" t="s">
        <v>145</v>
      </c>
    </row>
    <row r="58" spans="1:6">
      <c r="A58" t="s">
        <v>1475</v>
      </c>
      <c r="B58" t="s">
        <v>1476</v>
      </c>
      <c r="C58" t="s">
        <v>826</v>
      </c>
      <c r="D58" t="s">
        <v>144</v>
      </c>
      <c r="F58" t="s">
        <v>145</v>
      </c>
    </row>
    <row r="59" spans="1:6">
      <c r="A59" t="s">
        <v>1475</v>
      </c>
      <c r="B59" t="s">
        <v>1477</v>
      </c>
      <c r="C59" t="s">
        <v>69</v>
      </c>
      <c r="D59" t="s">
        <v>217</v>
      </c>
      <c r="F59" t="s">
        <v>145</v>
      </c>
    </row>
    <row r="60" spans="1:6">
      <c r="A60" t="s">
        <v>1475</v>
      </c>
      <c r="B60" t="s">
        <v>1477</v>
      </c>
      <c r="C60" t="s">
        <v>809</v>
      </c>
      <c r="D60" t="s">
        <v>164</v>
      </c>
      <c r="F60" t="s">
        <v>145</v>
      </c>
    </row>
    <row r="61" spans="1:6">
      <c r="A61" t="s">
        <v>1475</v>
      </c>
      <c r="B61" t="s">
        <v>1477</v>
      </c>
      <c r="C61" t="s">
        <v>827</v>
      </c>
      <c r="D61" t="s">
        <v>144</v>
      </c>
      <c r="F61" t="s">
        <v>145</v>
      </c>
    </row>
    <row r="62" spans="1:6">
      <c r="A62" t="s">
        <v>1475</v>
      </c>
      <c r="B62" t="s">
        <v>1477</v>
      </c>
      <c r="C62" t="s">
        <v>828</v>
      </c>
      <c r="D62" t="s">
        <v>144</v>
      </c>
      <c r="F62" t="s">
        <v>145</v>
      </c>
    </row>
    <row r="63" spans="1:6">
      <c r="A63" t="s">
        <v>1475</v>
      </c>
      <c r="B63" t="s">
        <v>1477</v>
      </c>
      <c r="C63" t="s">
        <v>829</v>
      </c>
      <c r="D63" t="s">
        <v>144</v>
      </c>
      <c r="F63" t="s">
        <v>145</v>
      </c>
    </row>
    <row r="64" spans="1:6">
      <c r="A64" t="s">
        <v>1475</v>
      </c>
      <c r="B64" t="s">
        <v>1477</v>
      </c>
      <c r="C64" t="s">
        <v>830</v>
      </c>
      <c r="D64" t="s">
        <v>144</v>
      </c>
      <c r="F64" t="s">
        <v>145</v>
      </c>
    </row>
    <row r="65" spans="1:6">
      <c r="A65" t="s">
        <v>1475</v>
      </c>
      <c r="B65" t="s">
        <v>1118</v>
      </c>
      <c r="C65" t="s">
        <v>623</v>
      </c>
      <c r="D65" t="s">
        <v>217</v>
      </c>
      <c r="F65" t="s">
        <v>145</v>
      </c>
    </row>
    <row r="66" spans="1:6">
      <c r="A66" t="s">
        <v>1475</v>
      </c>
      <c r="B66" t="s">
        <v>1118</v>
      </c>
      <c r="C66" t="s">
        <v>817</v>
      </c>
      <c r="D66" t="s">
        <v>164</v>
      </c>
      <c r="F66" t="s">
        <v>145</v>
      </c>
    </row>
    <row r="67" spans="1:6">
      <c r="A67" t="s">
        <v>1475</v>
      </c>
      <c r="B67" t="s">
        <v>1118</v>
      </c>
      <c r="C67" t="s">
        <v>831</v>
      </c>
      <c r="D67" t="s">
        <v>144</v>
      </c>
      <c r="F67" t="s">
        <v>145</v>
      </c>
    </row>
    <row r="68" spans="1:6">
      <c r="A68" t="s">
        <v>1475</v>
      </c>
      <c r="B68" t="s">
        <v>1118</v>
      </c>
      <c r="C68" t="s">
        <v>832</v>
      </c>
      <c r="D68" t="s">
        <v>144</v>
      </c>
      <c r="F68" t="s">
        <v>145</v>
      </c>
    </row>
    <row r="69" spans="1:6">
      <c r="A69" t="s">
        <v>1475</v>
      </c>
      <c r="B69" t="s">
        <v>1118</v>
      </c>
      <c r="C69" t="s">
        <v>833</v>
      </c>
      <c r="D69" t="s">
        <v>144</v>
      </c>
      <c r="F69" t="s">
        <v>145</v>
      </c>
    </row>
    <row r="70" spans="1:6">
      <c r="A70" t="s">
        <v>1475</v>
      </c>
      <c r="B70" t="s">
        <v>1118</v>
      </c>
      <c r="C70" t="s">
        <v>834</v>
      </c>
      <c r="D70" t="s">
        <v>144</v>
      </c>
      <c r="F70" t="s">
        <v>145</v>
      </c>
    </row>
    <row r="71" spans="1:6">
      <c r="A71" t="s">
        <v>1475</v>
      </c>
      <c r="B71" t="s">
        <v>158</v>
      </c>
      <c r="C71" t="s">
        <v>69</v>
      </c>
      <c r="D71" t="s">
        <v>654</v>
      </c>
      <c r="F71" t="s">
        <v>145</v>
      </c>
    </row>
    <row r="72" spans="1:6">
      <c r="A72" t="s">
        <v>1475</v>
      </c>
      <c r="B72" t="s">
        <v>158</v>
      </c>
      <c r="C72" t="s">
        <v>623</v>
      </c>
      <c r="D72" t="s">
        <v>217</v>
      </c>
      <c r="F72" t="s">
        <v>145</v>
      </c>
    </row>
    <row r="73" spans="1:6">
      <c r="A73" t="s">
        <v>1475</v>
      </c>
      <c r="B73" t="s">
        <v>158</v>
      </c>
      <c r="C73" t="s">
        <v>790</v>
      </c>
      <c r="D73" t="s">
        <v>217</v>
      </c>
      <c r="F73" t="s">
        <v>145</v>
      </c>
    </row>
    <row r="74" spans="1:6">
      <c r="A74" t="s">
        <v>1475</v>
      </c>
      <c r="B74" t="s">
        <v>158</v>
      </c>
      <c r="C74" t="s">
        <v>257</v>
      </c>
      <c r="D74" t="s">
        <v>160</v>
      </c>
      <c r="F74" t="s">
        <v>145</v>
      </c>
    </row>
    <row r="75" spans="1:6">
      <c r="A75" t="s">
        <v>1475</v>
      </c>
      <c r="B75" t="s">
        <v>158</v>
      </c>
      <c r="C75" t="s">
        <v>835</v>
      </c>
      <c r="D75" t="s">
        <v>836</v>
      </c>
      <c r="F75" t="s">
        <v>337</v>
      </c>
    </row>
    <row r="76" spans="1:6">
      <c r="A76" t="s">
        <v>1475</v>
      </c>
      <c r="B76" t="s">
        <v>158</v>
      </c>
      <c r="C76" t="s">
        <v>408</v>
      </c>
      <c r="D76" t="s">
        <v>409</v>
      </c>
    </row>
    <row r="77" spans="1:6">
      <c r="A77" t="s">
        <v>1478</v>
      </c>
      <c r="B77" t="s">
        <v>1124</v>
      </c>
      <c r="C77" t="s">
        <v>70</v>
      </c>
      <c r="D77" t="s">
        <v>164</v>
      </c>
      <c r="F77" t="s">
        <v>145</v>
      </c>
    </row>
    <row r="78" spans="1:6">
      <c r="A78" t="s">
        <v>1478</v>
      </c>
      <c r="B78" t="s">
        <v>1124</v>
      </c>
      <c r="C78" t="s">
        <v>90</v>
      </c>
      <c r="D78" t="s">
        <v>144</v>
      </c>
      <c r="F78" t="s">
        <v>145</v>
      </c>
    </row>
    <row r="79" spans="1:6">
      <c r="A79" t="s">
        <v>1478</v>
      </c>
      <c r="B79" t="s">
        <v>1124</v>
      </c>
      <c r="C79" t="s">
        <v>93</v>
      </c>
      <c r="D79" t="s">
        <v>144</v>
      </c>
      <c r="F79" t="s">
        <v>145</v>
      </c>
    </row>
    <row r="80" spans="1:6">
      <c r="A80" t="s">
        <v>1478</v>
      </c>
      <c r="B80" t="s">
        <v>1124</v>
      </c>
      <c r="C80" t="s">
        <v>91</v>
      </c>
      <c r="D80" t="s">
        <v>144</v>
      </c>
      <c r="F80" t="s">
        <v>145</v>
      </c>
    </row>
    <row r="81" spans="1:6">
      <c r="A81" t="s">
        <v>1478</v>
      </c>
      <c r="B81" t="s">
        <v>1124</v>
      </c>
      <c r="C81" t="s">
        <v>92</v>
      </c>
      <c r="D81" t="s">
        <v>144</v>
      </c>
      <c r="F81" t="s">
        <v>145</v>
      </c>
    </row>
    <row r="82" spans="1:6">
      <c r="A82" t="s">
        <v>1478</v>
      </c>
      <c r="B82" s="4"/>
      <c r="C82" t="s">
        <v>575</v>
      </c>
      <c r="D82" t="s">
        <v>164</v>
      </c>
      <c r="E82" t="s">
        <v>837</v>
      </c>
      <c r="F82" t="s">
        <v>145</v>
      </c>
    </row>
    <row r="83" spans="1:6">
      <c r="A83" t="s">
        <v>1478</v>
      </c>
      <c r="B83" s="4"/>
      <c r="C83" t="s">
        <v>838</v>
      </c>
      <c r="D83" t="s">
        <v>144</v>
      </c>
      <c r="E83" t="s">
        <v>837</v>
      </c>
      <c r="F83" t="s">
        <v>145</v>
      </c>
    </row>
    <row r="84" spans="1:6">
      <c r="A84" t="s">
        <v>1478</v>
      </c>
      <c r="B84" s="4"/>
      <c r="C84" t="s">
        <v>839</v>
      </c>
      <c r="D84" t="s">
        <v>144</v>
      </c>
      <c r="E84" t="s">
        <v>837</v>
      </c>
      <c r="F84" t="s">
        <v>145</v>
      </c>
    </row>
    <row r="85" spans="1:6">
      <c r="A85" t="s">
        <v>1478</v>
      </c>
      <c r="B85" s="4"/>
      <c r="C85" t="s">
        <v>831</v>
      </c>
      <c r="D85" t="s">
        <v>164</v>
      </c>
      <c r="E85" t="s">
        <v>840</v>
      </c>
      <c r="F85" t="s">
        <v>145</v>
      </c>
    </row>
    <row r="86" spans="1:6">
      <c r="A86" t="s">
        <v>1478</v>
      </c>
      <c r="B86" s="4"/>
      <c r="C86" t="s">
        <v>841</v>
      </c>
      <c r="D86" t="s">
        <v>144</v>
      </c>
      <c r="E86" t="s">
        <v>840</v>
      </c>
      <c r="F86" t="s">
        <v>145</v>
      </c>
    </row>
    <row r="87" spans="1:6">
      <c r="A87" t="s">
        <v>1478</v>
      </c>
      <c r="B87" s="4"/>
      <c r="C87" t="s">
        <v>842</v>
      </c>
      <c r="D87" t="s">
        <v>144</v>
      </c>
      <c r="E87" t="s">
        <v>840</v>
      </c>
      <c r="F87" t="s">
        <v>145</v>
      </c>
    </row>
    <row r="88" spans="1:6">
      <c r="A88" t="s">
        <v>1478</v>
      </c>
      <c r="B88" s="4"/>
      <c r="C88" t="s">
        <v>843</v>
      </c>
      <c r="D88" t="s">
        <v>144</v>
      </c>
      <c r="E88" t="s">
        <v>840</v>
      </c>
      <c r="F88" t="s">
        <v>145</v>
      </c>
    </row>
    <row r="89" spans="1:6">
      <c r="A89" t="s">
        <v>1478</v>
      </c>
      <c r="B89" s="4"/>
      <c r="C89" t="s">
        <v>844</v>
      </c>
      <c r="D89" t="s">
        <v>144</v>
      </c>
      <c r="E89" t="s">
        <v>840</v>
      </c>
      <c r="F89" t="s">
        <v>145</v>
      </c>
    </row>
    <row r="90" spans="1:6">
      <c r="A90" t="s">
        <v>1478</v>
      </c>
      <c r="B90" t="s">
        <v>1466</v>
      </c>
      <c r="C90" t="s">
        <v>825</v>
      </c>
      <c r="D90" t="s">
        <v>164</v>
      </c>
      <c r="F90" t="s">
        <v>145</v>
      </c>
    </row>
    <row r="91" spans="1:6">
      <c r="A91" t="s">
        <v>1478</v>
      </c>
      <c r="B91" t="s">
        <v>1466</v>
      </c>
      <c r="C91" t="s">
        <v>845</v>
      </c>
      <c r="D91" t="s">
        <v>144</v>
      </c>
      <c r="F91" t="s">
        <v>145</v>
      </c>
    </row>
    <row r="92" spans="1:6">
      <c r="A92" t="s">
        <v>1478</v>
      </c>
      <c r="B92" t="s">
        <v>1466</v>
      </c>
      <c r="C92" t="s">
        <v>846</v>
      </c>
      <c r="D92" t="s">
        <v>144</v>
      </c>
      <c r="F92" t="s">
        <v>145</v>
      </c>
    </row>
    <row r="93" spans="1:6">
      <c r="A93" t="s">
        <v>1478</v>
      </c>
      <c r="B93" t="s">
        <v>1466</v>
      </c>
      <c r="C93" t="s">
        <v>847</v>
      </c>
      <c r="D93" t="s">
        <v>144</v>
      </c>
      <c r="F93" t="s">
        <v>145</v>
      </c>
    </row>
    <row r="94" spans="1:6">
      <c r="A94" t="s">
        <v>1478</v>
      </c>
      <c r="B94" t="s">
        <v>1466</v>
      </c>
      <c r="C94" t="s">
        <v>848</v>
      </c>
      <c r="D94" t="s">
        <v>144</v>
      </c>
      <c r="F94" t="s">
        <v>145</v>
      </c>
    </row>
    <row r="95" spans="1:6">
      <c r="A95" t="s">
        <v>1478</v>
      </c>
      <c r="B95" t="s">
        <v>535</v>
      </c>
      <c r="C95" t="s">
        <v>828</v>
      </c>
      <c r="D95" t="s">
        <v>164</v>
      </c>
      <c r="F95" t="s">
        <v>145</v>
      </c>
    </row>
    <row r="96" spans="1:6">
      <c r="A96" t="s">
        <v>1478</v>
      </c>
      <c r="B96" t="s">
        <v>535</v>
      </c>
      <c r="C96" t="s">
        <v>849</v>
      </c>
      <c r="D96" t="s">
        <v>144</v>
      </c>
      <c r="F96" t="s">
        <v>145</v>
      </c>
    </row>
    <row r="97" spans="1:6">
      <c r="A97" t="s">
        <v>1478</v>
      </c>
      <c r="B97" t="s">
        <v>535</v>
      </c>
      <c r="C97" t="s">
        <v>850</v>
      </c>
      <c r="D97" t="s">
        <v>144</v>
      </c>
      <c r="F97" t="s">
        <v>145</v>
      </c>
    </row>
    <row r="98" spans="1:6">
      <c r="A98" t="s">
        <v>1478</v>
      </c>
      <c r="B98" t="s">
        <v>535</v>
      </c>
      <c r="C98" t="s">
        <v>851</v>
      </c>
      <c r="D98" t="s">
        <v>144</v>
      </c>
      <c r="F98" t="s">
        <v>145</v>
      </c>
    </row>
    <row r="99" spans="1:6">
      <c r="A99" t="s">
        <v>1478</v>
      </c>
      <c r="B99" t="s">
        <v>535</v>
      </c>
      <c r="C99" t="s">
        <v>852</v>
      </c>
      <c r="D99" t="s">
        <v>144</v>
      </c>
      <c r="F99" t="s">
        <v>145</v>
      </c>
    </row>
    <row r="100" spans="1:6">
      <c r="A100" t="s">
        <v>1478</v>
      </c>
      <c r="B100" t="s">
        <v>647</v>
      </c>
      <c r="C100" t="s">
        <v>853</v>
      </c>
      <c r="D100" t="s">
        <v>164</v>
      </c>
      <c r="F100" t="s">
        <v>647</v>
      </c>
    </row>
    <row r="101" spans="1:6">
      <c r="A101" t="s">
        <v>1478</v>
      </c>
      <c r="B101" t="s">
        <v>647</v>
      </c>
      <c r="C101" t="s">
        <v>854</v>
      </c>
      <c r="D101" t="s">
        <v>144</v>
      </c>
      <c r="F101" t="s">
        <v>647</v>
      </c>
    </row>
    <row r="102" spans="1:6">
      <c r="A102" t="s">
        <v>1478</v>
      </c>
      <c r="B102" t="s">
        <v>647</v>
      </c>
      <c r="C102" t="s">
        <v>855</v>
      </c>
      <c r="D102" t="s">
        <v>144</v>
      </c>
      <c r="F102" t="s">
        <v>647</v>
      </c>
    </row>
    <row r="103" spans="1:6">
      <c r="A103" t="s">
        <v>1478</v>
      </c>
      <c r="B103" t="s">
        <v>1479</v>
      </c>
      <c r="C103" t="s">
        <v>834</v>
      </c>
      <c r="D103" t="s">
        <v>164</v>
      </c>
      <c r="F103" t="s">
        <v>145</v>
      </c>
    </row>
    <row r="104" spans="1:6">
      <c r="A104" t="s">
        <v>1478</v>
      </c>
      <c r="B104" t="s">
        <v>1479</v>
      </c>
      <c r="C104" t="s">
        <v>857</v>
      </c>
      <c r="D104" t="s">
        <v>144</v>
      </c>
      <c r="F104" t="s">
        <v>145</v>
      </c>
    </row>
    <row r="105" spans="1:6">
      <c r="A105" t="s">
        <v>1478</v>
      </c>
      <c r="B105" t="s">
        <v>1479</v>
      </c>
      <c r="C105" t="s">
        <v>858</v>
      </c>
      <c r="D105" t="s">
        <v>144</v>
      </c>
      <c r="F105" t="s">
        <v>145</v>
      </c>
    </row>
    <row r="106" spans="1:6">
      <c r="A106" t="s">
        <v>1478</v>
      </c>
      <c r="B106" t="s">
        <v>1479</v>
      </c>
      <c r="C106" t="s">
        <v>859</v>
      </c>
      <c r="D106" t="s">
        <v>144</v>
      </c>
      <c r="F106" t="s">
        <v>145</v>
      </c>
    </row>
    <row r="107" spans="1:6">
      <c r="A107" t="s">
        <v>1478</v>
      </c>
      <c r="B107" t="s">
        <v>1479</v>
      </c>
      <c r="C107" t="s">
        <v>860</v>
      </c>
      <c r="D107" t="s">
        <v>144</v>
      </c>
      <c r="F107" t="s">
        <v>145</v>
      </c>
    </row>
    <row r="108" spans="1:6">
      <c r="A108" t="s">
        <v>1478</v>
      </c>
      <c r="B108" t="s">
        <v>158</v>
      </c>
      <c r="C108" t="s">
        <v>801</v>
      </c>
      <c r="D108" t="s">
        <v>217</v>
      </c>
      <c r="F108" t="s">
        <v>145</v>
      </c>
    </row>
    <row r="109" spans="1:6">
      <c r="A109" t="s">
        <v>1478</v>
      </c>
      <c r="B109" t="s">
        <v>158</v>
      </c>
      <c r="C109" t="s">
        <v>861</v>
      </c>
      <c r="D109" t="s">
        <v>217</v>
      </c>
      <c r="F109" t="s">
        <v>145</v>
      </c>
    </row>
    <row r="110" spans="1:6">
      <c r="A110" t="s">
        <v>1478</v>
      </c>
      <c r="B110" t="s">
        <v>158</v>
      </c>
      <c r="C110" t="s">
        <v>806</v>
      </c>
      <c r="D110" t="s">
        <v>217</v>
      </c>
      <c r="F110" t="s">
        <v>145</v>
      </c>
    </row>
    <row r="111" spans="1:6">
      <c r="A111" t="s">
        <v>1473</v>
      </c>
      <c r="B111" t="s">
        <v>158</v>
      </c>
      <c r="C111" t="s">
        <v>408</v>
      </c>
      <c r="D111" t="s">
        <v>409</v>
      </c>
      <c r="F111" t="s">
        <v>145</v>
      </c>
    </row>
    <row r="112" spans="1:6">
      <c r="A112" t="s">
        <v>1478</v>
      </c>
      <c r="B112" t="s">
        <v>158</v>
      </c>
      <c r="C112" t="s">
        <v>69</v>
      </c>
      <c r="D112" t="s">
        <v>219</v>
      </c>
      <c r="F112" t="s">
        <v>145</v>
      </c>
    </row>
    <row r="113" spans="1:6">
      <c r="A113" t="s">
        <v>1478</v>
      </c>
      <c r="B113" t="s">
        <v>158</v>
      </c>
      <c r="C113" t="s">
        <v>257</v>
      </c>
      <c r="D113" t="s">
        <v>160</v>
      </c>
      <c r="F113" t="s">
        <v>145</v>
      </c>
    </row>
    <row r="114" spans="1:6">
      <c r="A114" t="s">
        <v>1478</v>
      </c>
      <c r="B114" t="s">
        <v>158</v>
      </c>
      <c r="C114" t="s">
        <v>887</v>
      </c>
      <c r="D114" t="s">
        <v>836</v>
      </c>
      <c r="F114" t="s">
        <v>337</v>
      </c>
    </row>
    <row r="115" spans="1:6">
      <c r="A115" t="s">
        <v>1480</v>
      </c>
      <c r="B115" t="s">
        <v>1124</v>
      </c>
      <c r="C115" t="s">
        <v>86</v>
      </c>
      <c r="D115" t="s">
        <v>164</v>
      </c>
      <c r="F115" t="s">
        <v>145</v>
      </c>
    </row>
    <row r="116" spans="1:6">
      <c r="A116" t="s">
        <v>1480</v>
      </c>
      <c r="B116" t="s">
        <v>1124</v>
      </c>
      <c r="C116" t="s">
        <v>82</v>
      </c>
      <c r="D116" t="s">
        <v>144</v>
      </c>
      <c r="F116" t="s">
        <v>145</v>
      </c>
    </row>
    <row r="117" spans="1:6">
      <c r="A117" t="s">
        <v>1480</v>
      </c>
      <c r="B117" t="s">
        <v>1124</v>
      </c>
      <c r="C117" t="s">
        <v>84</v>
      </c>
      <c r="D117" t="s">
        <v>144</v>
      </c>
      <c r="F117" t="s">
        <v>145</v>
      </c>
    </row>
    <row r="118" spans="1:6">
      <c r="A118" t="s">
        <v>1480</v>
      </c>
      <c r="B118" t="s">
        <v>1124</v>
      </c>
      <c r="C118" t="s">
        <v>85</v>
      </c>
      <c r="D118" t="s">
        <v>144</v>
      </c>
      <c r="F118" t="s">
        <v>145</v>
      </c>
    </row>
    <row r="119" spans="1:6">
      <c r="A119" t="s">
        <v>1480</v>
      </c>
      <c r="B119" t="s">
        <v>1124</v>
      </c>
      <c r="C119" t="s">
        <v>87</v>
      </c>
      <c r="D119" t="s">
        <v>144</v>
      </c>
      <c r="F119" t="s">
        <v>145</v>
      </c>
    </row>
    <row r="120" spans="1:6">
      <c r="A120" t="s">
        <v>1480</v>
      </c>
      <c r="B120" t="s">
        <v>1124</v>
      </c>
      <c r="C120" t="s">
        <v>83</v>
      </c>
      <c r="D120" t="s">
        <v>144</v>
      </c>
      <c r="F120" t="s">
        <v>145</v>
      </c>
    </row>
    <row r="121" spans="1:6">
      <c r="A121" t="s">
        <v>1480</v>
      </c>
      <c r="B121" t="s">
        <v>856</v>
      </c>
      <c r="C121" t="s">
        <v>857</v>
      </c>
      <c r="D121" t="s">
        <v>164</v>
      </c>
      <c r="F121" t="s">
        <v>145</v>
      </c>
    </row>
    <row r="122" spans="1:6">
      <c r="A122" t="s">
        <v>1480</v>
      </c>
      <c r="B122" t="s">
        <v>856</v>
      </c>
      <c r="C122" t="s">
        <v>862</v>
      </c>
      <c r="D122" t="s">
        <v>144</v>
      </c>
      <c r="F122" t="s">
        <v>145</v>
      </c>
    </row>
    <row r="123" spans="1:6">
      <c r="A123" t="s">
        <v>1480</v>
      </c>
      <c r="B123" t="s">
        <v>856</v>
      </c>
      <c r="C123" t="s">
        <v>863</v>
      </c>
      <c r="D123" t="s">
        <v>144</v>
      </c>
      <c r="F123" t="s">
        <v>145</v>
      </c>
    </row>
    <row r="124" spans="1:6">
      <c r="A124" t="s">
        <v>1480</v>
      </c>
      <c r="B124" t="s">
        <v>856</v>
      </c>
      <c r="C124" t="s">
        <v>864</v>
      </c>
      <c r="D124" t="s">
        <v>144</v>
      </c>
      <c r="F124" t="s">
        <v>145</v>
      </c>
    </row>
    <row r="125" spans="1:6">
      <c r="A125" t="s">
        <v>1480</v>
      </c>
      <c r="B125" t="s">
        <v>856</v>
      </c>
      <c r="C125" t="s">
        <v>865</v>
      </c>
      <c r="D125" t="s">
        <v>144</v>
      </c>
      <c r="F125" t="s">
        <v>145</v>
      </c>
    </row>
    <row r="126" spans="1:6">
      <c r="A126" t="s">
        <v>1480</v>
      </c>
      <c r="B126" t="s">
        <v>384</v>
      </c>
      <c r="C126" t="s">
        <v>821</v>
      </c>
      <c r="D126" t="s">
        <v>164</v>
      </c>
      <c r="F126" t="s">
        <v>145</v>
      </c>
    </row>
    <row r="127" spans="1:6">
      <c r="A127" t="s">
        <v>1480</v>
      </c>
      <c r="B127" t="s">
        <v>384</v>
      </c>
      <c r="C127" t="s">
        <v>866</v>
      </c>
      <c r="D127" t="s">
        <v>144</v>
      </c>
      <c r="F127" t="s">
        <v>145</v>
      </c>
    </row>
    <row r="128" spans="1:6">
      <c r="A128" t="s">
        <v>1480</v>
      </c>
      <c r="B128" t="s">
        <v>384</v>
      </c>
      <c r="C128" t="s">
        <v>867</v>
      </c>
      <c r="D128" t="s">
        <v>144</v>
      </c>
      <c r="F128" t="s">
        <v>145</v>
      </c>
    </row>
    <row r="129" spans="1:6">
      <c r="A129" t="s">
        <v>1480</v>
      </c>
      <c r="B129" t="s">
        <v>384</v>
      </c>
      <c r="C129" t="s">
        <v>868</v>
      </c>
      <c r="D129" t="s">
        <v>144</v>
      </c>
      <c r="F129" t="s">
        <v>145</v>
      </c>
    </row>
    <row r="130" spans="1:6">
      <c r="A130" t="s">
        <v>1480</v>
      </c>
      <c r="B130" t="s">
        <v>384</v>
      </c>
      <c r="C130" t="s">
        <v>869</v>
      </c>
      <c r="D130" t="s">
        <v>144</v>
      </c>
      <c r="F130" t="s">
        <v>145</v>
      </c>
    </row>
    <row r="131" spans="1:6">
      <c r="A131" t="s">
        <v>1480</v>
      </c>
      <c r="B131" t="s">
        <v>647</v>
      </c>
      <c r="C131" t="s">
        <v>710</v>
      </c>
      <c r="D131" t="s">
        <v>164</v>
      </c>
      <c r="F131" t="s">
        <v>145</v>
      </c>
    </row>
    <row r="132" spans="1:6">
      <c r="A132" t="s">
        <v>1480</v>
      </c>
      <c r="B132" t="s">
        <v>647</v>
      </c>
      <c r="C132" t="s">
        <v>870</v>
      </c>
      <c r="D132" t="s">
        <v>144</v>
      </c>
      <c r="F132" t="s">
        <v>145</v>
      </c>
    </row>
    <row r="133" spans="1:6">
      <c r="A133" t="s">
        <v>1480</v>
      </c>
      <c r="B133" t="s">
        <v>647</v>
      </c>
      <c r="C133" t="s">
        <v>871</v>
      </c>
      <c r="D133" t="s">
        <v>144</v>
      </c>
      <c r="F133" t="s">
        <v>145</v>
      </c>
    </row>
    <row r="134" spans="1:6">
      <c r="A134" t="s">
        <v>1480</v>
      </c>
      <c r="B134" t="s">
        <v>535</v>
      </c>
      <c r="C134" t="s">
        <v>844</v>
      </c>
      <c r="D134" t="s">
        <v>164</v>
      </c>
      <c r="F134" t="s">
        <v>145</v>
      </c>
    </row>
    <row r="135" spans="1:6">
      <c r="A135" t="s">
        <v>1480</v>
      </c>
      <c r="B135" t="s">
        <v>535</v>
      </c>
      <c r="C135" t="s">
        <v>872</v>
      </c>
      <c r="D135" t="s">
        <v>144</v>
      </c>
      <c r="F135" t="s">
        <v>145</v>
      </c>
    </row>
    <row r="136" spans="1:6">
      <c r="A136" t="s">
        <v>1480</v>
      </c>
      <c r="B136" t="s">
        <v>535</v>
      </c>
      <c r="C136" t="s">
        <v>873</v>
      </c>
      <c r="D136" t="s">
        <v>144</v>
      </c>
      <c r="F136" t="s">
        <v>145</v>
      </c>
    </row>
    <row r="137" spans="1:6">
      <c r="A137" t="s">
        <v>1480</v>
      </c>
      <c r="B137" t="s">
        <v>535</v>
      </c>
      <c r="C137" t="s">
        <v>874</v>
      </c>
      <c r="D137" t="s">
        <v>144</v>
      </c>
      <c r="F137" t="s">
        <v>145</v>
      </c>
    </row>
    <row r="138" spans="1:6">
      <c r="A138" t="s">
        <v>1480</v>
      </c>
      <c r="B138" t="s">
        <v>535</v>
      </c>
      <c r="C138" t="s">
        <v>875</v>
      </c>
      <c r="D138" t="s">
        <v>144</v>
      </c>
      <c r="F138" t="s">
        <v>145</v>
      </c>
    </row>
    <row r="139" spans="1:6">
      <c r="A139" t="s">
        <v>1480</v>
      </c>
      <c r="B139" t="s">
        <v>1466</v>
      </c>
      <c r="C139" t="s">
        <v>846</v>
      </c>
      <c r="D139" t="s">
        <v>164</v>
      </c>
      <c r="F139" t="s">
        <v>145</v>
      </c>
    </row>
    <row r="140" spans="1:6">
      <c r="A140" t="s">
        <v>1480</v>
      </c>
      <c r="B140" t="s">
        <v>1466</v>
      </c>
      <c r="C140" t="s">
        <v>876</v>
      </c>
      <c r="D140" t="s">
        <v>144</v>
      </c>
      <c r="F140" t="s">
        <v>145</v>
      </c>
    </row>
    <row r="141" spans="1:6">
      <c r="A141" t="s">
        <v>1480</v>
      </c>
      <c r="B141" t="s">
        <v>1466</v>
      </c>
      <c r="C141" t="s">
        <v>877</v>
      </c>
      <c r="D141" t="s">
        <v>144</v>
      </c>
      <c r="F141" t="s">
        <v>145</v>
      </c>
    </row>
    <row r="142" spans="1:6">
      <c r="A142" t="s">
        <v>1480</v>
      </c>
      <c r="B142" t="s">
        <v>1466</v>
      </c>
      <c r="C142" t="s">
        <v>878</v>
      </c>
      <c r="D142" t="s">
        <v>144</v>
      </c>
      <c r="F142" t="s">
        <v>145</v>
      </c>
    </row>
    <row r="143" spans="1:6">
      <c r="A143" t="s">
        <v>1480</v>
      </c>
      <c r="B143" t="s">
        <v>1466</v>
      </c>
      <c r="C143" t="s">
        <v>879</v>
      </c>
      <c r="D143" t="s">
        <v>144</v>
      </c>
      <c r="F143" t="s">
        <v>145</v>
      </c>
    </row>
    <row r="144" spans="1:6">
      <c r="A144" t="s">
        <v>1480</v>
      </c>
      <c r="B144" t="s">
        <v>1466</v>
      </c>
      <c r="C144" t="s">
        <v>880</v>
      </c>
      <c r="D144" t="s">
        <v>144</v>
      </c>
      <c r="F144" t="s">
        <v>145</v>
      </c>
    </row>
    <row r="145" spans="1:6">
      <c r="A145" t="s">
        <v>1480</v>
      </c>
      <c r="B145" t="s">
        <v>1118</v>
      </c>
      <c r="C145" t="s">
        <v>881</v>
      </c>
      <c r="D145" t="s">
        <v>164</v>
      </c>
      <c r="F145" t="s">
        <v>145</v>
      </c>
    </row>
    <row r="146" spans="1:6">
      <c r="A146" t="s">
        <v>1480</v>
      </c>
      <c r="B146" t="s">
        <v>1118</v>
      </c>
      <c r="C146" t="s">
        <v>882</v>
      </c>
      <c r="D146" t="s">
        <v>144</v>
      </c>
      <c r="F146" t="s">
        <v>145</v>
      </c>
    </row>
    <row r="147" spans="1:6">
      <c r="A147" t="s">
        <v>1480</v>
      </c>
      <c r="B147" t="s">
        <v>1118</v>
      </c>
      <c r="C147" t="s">
        <v>883</v>
      </c>
      <c r="D147" t="s">
        <v>144</v>
      </c>
      <c r="F147" t="s">
        <v>145</v>
      </c>
    </row>
    <row r="148" spans="1:6">
      <c r="A148" t="s">
        <v>1480</v>
      </c>
      <c r="B148" t="s">
        <v>1118</v>
      </c>
      <c r="C148" t="s">
        <v>884</v>
      </c>
      <c r="D148" t="s">
        <v>144</v>
      </c>
      <c r="F148" t="s">
        <v>145</v>
      </c>
    </row>
    <row r="149" spans="1:6">
      <c r="A149" t="s">
        <v>1480</v>
      </c>
      <c r="B149" t="s">
        <v>1118</v>
      </c>
      <c r="C149" t="s">
        <v>885</v>
      </c>
      <c r="D149" t="s">
        <v>144</v>
      </c>
      <c r="F149" t="s">
        <v>145</v>
      </c>
    </row>
    <row r="150" spans="1:6">
      <c r="A150" t="s">
        <v>1480</v>
      </c>
      <c r="B150" t="s">
        <v>158</v>
      </c>
      <c r="C150" t="s">
        <v>806</v>
      </c>
      <c r="D150" t="s">
        <v>217</v>
      </c>
      <c r="F150" t="s">
        <v>145</v>
      </c>
    </row>
    <row r="151" spans="1:6">
      <c r="A151" t="s">
        <v>1480</v>
      </c>
      <c r="B151" t="s">
        <v>158</v>
      </c>
      <c r="C151" t="s">
        <v>886</v>
      </c>
      <c r="D151" t="s">
        <v>217</v>
      </c>
      <c r="F151" t="s">
        <v>145</v>
      </c>
    </row>
    <row r="152" spans="1:6">
      <c r="A152" t="s">
        <v>1480</v>
      </c>
      <c r="B152" t="s">
        <v>158</v>
      </c>
      <c r="C152" t="s">
        <v>801</v>
      </c>
      <c r="D152" t="s">
        <v>217</v>
      </c>
      <c r="F152" t="s">
        <v>145</v>
      </c>
    </row>
    <row r="153" spans="1:6">
      <c r="A153" t="s">
        <v>1480</v>
      </c>
      <c r="B153" t="s">
        <v>158</v>
      </c>
      <c r="C153" t="s">
        <v>817</v>
      </c>
      <c r="D153" t="s">
        <v>217</v>
      </c>
      <c r="F153" t="s">
        <v>145</v>
      </c>
    </row>
    <row r="154" spans="1:6">
      <c r="A154" t="s">
        <v>1480</v>
      </c>
      <c r="B154" t="s">
        <v>158</v>
      </c>
      <c r="C154" t="s">
        <v>69</v>
      </c>
      <c r="D154" t="s">
        <v>219</v>
      </c>
      <c r="F154" t="s">
        <v>145</v>
      </c>
    </row>
    <row r="155" spans="1:6">
      <c r="A155" t="s">
        <v>1480</v>
      </c>
      <c r="B155" t="s">
        <v>158</v>
      </c>
      <c r="C155" t="s">
        <v>257</v>
      </c>
      <c r="D155" t="s">
        <v>160</v>
      </c>
      <c r="F155" t="s">
        <v>145</v>
      </c>
    </row>
    <row r="156" spans="1:6">
      <c r="A156" t="s">
        <v>1480</v>
      </c>
      <c r="B156" t="s">
        <v>158</v>
      </c>
      <c r="C156" t="s">
        <v>887</v>
      </c>
      <c r="D156" t="s">
        <v>836</v>
      </c>
      <c r="F156" t="s">
        <v>337</v>
      </c>
    </row>
    <row r="157" spans="1:6">
      <c r="A157" t="s">
        <v>1481</v>
      </c>
      <c r="B157" t="s">
        <v>1124</v>
      </c>
      <c r="C157" t="s">
        <v>84</v>
      </c>
      <c r="D157" t="s">
        <v>164</v>
      </c>
      <c r="F157" t="s">
        <v>145</v>
      </c>
    </row>
    <row r="158" spans="1:6">
      <c r="A158" t="s">
        <v>1481</v>
      </c>
      <c r="B158" t="s">
        <v>1124</v>
      </c>
      <c r="C158" t="s">
        <v>103</v>
      </c>
      <c r="D158" t="s">
        <v>144</v>
      </c>
      <c r="F158" t="s">
        <v>145</v>
      </c>
    </row>
    <row r="159" spans="1:6">
      <c r="A159" t="s">
        <v>1481</v>
      </c>
      <c r="B159" t="s">
        <v>1124</v>
      </c>
      <c r="C159" t="s">
        <v>104</v>
      </c>
      <c r="D159" t="s">
        <v>144</v>
      </c>
      <c r="F159" t="s">
        <v>145</v>
      </c>
    </row>
    <row r="160" spans="1:6">
      <c r="A160" t="s">
        <v>1481</v>
      </c>
      <c r="B160" t="s">
        <v>1124</v>
      </c>
      <c r="C160" t="s">
        <v>99</v>
      </c>
      <c r="D160" t="s">
        <v>144</v>
      </c>
      <c r="F160" t="s">
        <v>145</v>
      </c>
    </row>
    <row r="161" spans="1:6">
      <c r="A161" t="s">
        <v>1481</v>
      </c>
      <c r="B161" t="s">
        <v>1466</v>
      </c>
      <c r="C161" t="s">
        <v>877</v>
      </c>
      <c r="D161" t="s">
        <v>164</v>
      </c>
      <c r="F161" t="s">
        <v>145</v>
      </c>
    </row>
    <row r="162" spans="1:6">
      <c r="A162" t="s">
        <v>1481</v>
      </c>
      <c r="B162" t="s">
        <v>1466</v>
      </c>
      <c r="C162" t="s">
        <v>888</v>
      </c>
      <c r="D162" t="s">
        <v>144</v>
      </c>
      <c r="F162" t="s">
        <v>145</v>
      </c>
    </row>
    <row r="163" spans="1:6">
      <c r="A163" t="s">
        <v>1481</v>
      </c>
      <c r="B163" t="s">
        <v>1466</v>
      </c>
      <c r="C163" t="s">
        <v>889</v>
      </c>
      <c r="D163" t="s">
        <v>144</v>
      </c>
      <c r="F163" t="s">
        <v>145</v>
      </c>
    </row>
    <row r="164" spans="1:6">
      <c r="A164" t="s">
        <v>1481</v>
      </c>
      <c r="B164" t="s">
        <v>1466</v>
      </c>
      <c r="C164" t="s">
        <v>890</v>
      </c>
      <c r="D164" t="s">
        <v>144</v>
      </c>
      <c r="F164" t="s">
        <v>145</v>
      </c>
    </row>
    <row r="165" spans="1:6">
      <c r="A165" t="s">
        <v>1481</v>
      </c>
      <c r="B165" t="s">
        <v>1466</v>
      </c>
      <c r="C165" t="s">
        <v>891</v>
      </c>
      <c r="D165" t="s">
        <v>144</v>
      </c>
      <c r="F165" t="s">
        <v>145</v>
      </c>
    </row>
    <row r="166" spans="1:6">
      <c r="A166" t="s">
        <v>1481</v>
      </c>
      <c r="B166" t="s">
        <v>535</v>
      </c>
      <c r="C166" t="s">
        <v>842</v>
      </c>
      <c r="D166" t="s">
        <v>164</v>
      </c>
      <c r="F166" t="s">
        <v>145</v>
      </c>
    </row>
    <row r="167" spans="1:6">
      <c r="A167" t="s">
        <v>1481</v>
      </c>
      <c r="B167" t="s">
        <v>535</v>
      </c>
      <c r="C167" t="s">
        <v>892</v>
      </c>
      <c r="D167" t="s">
        <v>144</v>
      </c>
      <c r="F167" t="s">
        <v>145</v>
      </c>
    </row>
    <row r="168" spans="1:6">
      <c r="A168" t="s">
        <v>1481</v>
      </c>
      <c r="B168" t="s">
        <v>535</v>
      </c>
      <c r="C168" t="s">
        <v>893</v>
      </c>
      <c r="D168" t="s">
        <v>144</v>
      </c>
      <c r="F168" t="s">
        <v>145</v>
      </c>
    </row>
    <row r="169" spans="1:6">
      <c r="A169" t="s">
        <v>1481</v>
      </c>
      <c r="B169" t="s">
        <v>535</v>
      </c>
      <c r="C169" t="s">
        <v>894</v>
      </c>
      <c r="D169" t="s">
        <v>144</v>
      </c>
      <c r="F169" t="s">
        <v>145</v>
      </c>
    </row>
    <row r="170" spans="1:6">
      <c r="A170" t="s">
        <v>1481</v>
      </c>
      <c r="B170" t="s">
        <v>647</v>
      </c>
      <c r="C170" t="s">
        <v>710</v>
      </c>
      <c r="D170" t="s">
        <v>164</v>
      </c>
      <c r="E170" s="5" t="s">
        <v>895</v>
      </c>
      <c r="F170" t="s">
        <v>647</v>
      </c>
    </row>
    <row r="171" spans="1:6">
      <c r="A171" t="s">
        <v>1481</v>
      </c>
      <c r="B171" t="s">
        <v>647</v>
      </c>
      <c r="C171" t="s">
        <v>896</v>
      </c>
      <c r="D171" t="s">
        <v>144</v>
      </c>
      <c r="E171" s="5" t="s">
        <v>895</v>
      </c>
      <c r="F171" t="s">
        <v>647</v>
      </c>
    </row>
    <row r="172" spans="1:6">
      <c r="A172" t="s">
        <v>1481</v>
      </c>
      <c r="B172" t="s">
        <v>647</v>
      </c>
      <c r="C172" t="s">
        <v>897</v>
      </c>
      <c r="D172" t="s">
        <v>144</v>
      </c>
      <c r="E172" s="5" t="s">
        <v>895</v>
      </c>
      <c r="F172" t="s">
        <v>647</v>
      </c>
    </row>
    <row r="173" spans="1:6">
      <c r="A173" t="s">
        <v>1481</v>
      </c>
      <c r="B173" t="s">
        <v>647</v>
      </c>
      <c r="C173" t="s">
        <v>898</v>
      </c>
      <c r="D173" t="s">
        <v>164</v>
      </c>
      <c r="E173" t="s">
        <v>899</v>
      </c>
      <c r="F173" t="s">
        <v>647</v>
      </c>
    </row>
    <row r="174" spans="1:6">
      <c r="A174" t="s">
        <v>1481</v>
      </c>
      <c r="B174" t="s">
        <v>647</v>
      </c>
      <c r="C174" t="s">
        <v>900</v>
      </c>
      <c r="D174" t="s">
        <v>144</v>
      </c>
      <c r="E174" t="s">
        <v>899</v>
      </c>
      <c r="F174" t="s">
        <v>647</v>
      </c>
    </row>
    <row r="175" spans="1:6">
      <c r="A175" t="s">
        <v>1481</v>
      </c>
      <c r="B175" t="s">
        <v>647</v>
      </c>
      <c r="C175" t="s">
        <v>901</v>
      </c>
      <c r="D175" t="s">
        <v>144</v>
      </c>
      <c r="E175" t="s">
        <v>899</v>
      </c>
      <c r="F175" t="s">
        <v>647</v>
      </c>
    </row>
    <row r="176" spans="1:6">
      <c r="A176" t="s">
        <v>1481</v>
      </c>
      <c r="B176" t="s">
        <v>856</v>
      </c>
      <c r="C176" t="s">
        <v>873</v>
      </c>
      <c r="D176" t="s">
        <v>164</v>
      </c>
      <c r="F176" t="s">
        <v>145</v>
      </c>
    </row>
    <row r="177" spans="1:6">
      <c r="A177" t="s">
        <v>1481</v>
      </c>
      <c r="B177" t="s">
        <v>856</v>
      </c>
      <c r="C177" t="s">
        <v>902</v>
      </c>
      <c r="D177" t="s">
        <v>144</v>
      </c>
      <c r="F177" t="s">
        <v>145</v>
      </c>
    </row>
    <row r="178" spans="1:6">
      <c r="A178" t="s">
        <v>1481</v>
      </c>
      <c r="B178" t="s">
        <v>856</v>
      </c>
      <c r="C178" t="s">
        <v>903</v>
      </c>
      <c r="D178" t="s">
        <v>144</v>
      </c>
      <c r="F178" t="s">
        <v>145</v>
      </c>
    </row>
    <row r="179" spans="1:6">
      <c r="A179" t="s">
        <v>1481</v>
      </c>
      <c r="B179" t="s">
        <v>856</v>
      </c>
      <c r="C179" t="s">
        <v>904</v>
      </c>
      <c r="D179" t="s">
        <v>144</v>
      </c>
      <c r="F179" t="s">
        <v>145</v>
      </c>
    </row>
    <row r="180" spans="1:6">
      <c r="A180" t="s">
        <v>1481</v>
      </c>
      <c r="B180" t="s">
        <v>158</v>
      </c>
      <c r="C180" t="s">
        <v>801</v>
      </c>
      <c r="D180" t="s">
        <v>217</v>
      </c>
      <c r="F180" t="s">
        <v>145</v>
      </c>
    </row>
    <row r="181" spans="1:6">
      <c r="A181" t="s">
        <v>1481</v>
      </c>
      <c r="B181" t="s">
        <v>158</v>
      </c>
      <c r="C181" t="s">
        <v>846</v>
      </c>
      <c r="D181" t="s">
        <v>217</v>
      </c>
      <c r="F181" t="s">
        <v>145</v>
      </c>
    </row>
    <row r="182" spans="1:6">
      <c r="A182" t="s">
        <v>1481</v>
      </c>
      <c r="B182" t="s">
        <v>158</v>
      </c>
      <c r="C182" t="s">
        <v>806</v>
      </c>
      <c r="D182" t="s">
        <v>217</v>
      </c>
      <c r="F182" t="s">
        <v>145</v>
      </c>
    </row>
    <row r="183" spans="1:6">
      <c r="A183" t="s">
        <v>1481</v>
      </c>
      <c r="B183" t="s">
        <v>158</v>
      </c>
      <c r="C183" t="s">
        <v>69</v>
      </c>
      <c r="D183" t="s">
        <v>219</v>
      </c>
      <c r="F183" t="s">
        <v>145</v>
      </c>
    </row>
    <row r="184" spans="1:6">
      <c r="A184" t="s">
        <v>1481</v>
      </c>
      <c r="B184" t="s">
        <v>158</v>
      </c>
      <c r="C184" t="s">
        <v>257</v>
      </c>
      <c r="D184" t="s">
        <v>160</v>
      </c>
      <c r="F184" t="s">
        <v>145</v>
      </c>
    </row>
    <row r="185" spans="1:6">
      <c r="A185" t="s">
        <v>1481</v>
      </c>
      <c r="B185" t="s">
        <v>158</v>
      </c>
      <c r="C185" t="s">
        <v>887</v>
      </c>
      <c r="D185" t="s">
        <v>836</v>
      </c>
      <c r="F185" t="s">
        <v>337</v>
      </c>
    </row>
    <row r="186" spans="1:6">
      <c r="A186" t="s">
        <v>1482</v>
      </c>
      <c r="B186" t="s">
        <v>1124</v>
      </c>
      <c r="C186" t="s">
        <v>99</v>
      </c>
      <c r="D186" t="s">
        <v>164</v>
      </c>
      <c r="F186" t="s">
        <v>145</v>
      </c>
    </row>
    <row r="187" spans="1:6">
      <c r="A187" t="s">
        <v>1482</v>
      </c>
      <c r="B187" t="s">
        <v>1124</v>
      </c>
      <c r="C187" t="s">
        <v>96</v>
      </c>
      <c r="D187" t="s">
        <v>144</v>
      </c>
      <c r="F187" t="s">
        <v>145</v>
      </c>
    </row>
    <row r="188" spans="1:6">
      <c r="A188" t="s">
        <v>1482</v>
      </c>
      <c r="B188" t="s">
        <v>1124</v>
      </c>
      <c r="C188" t="s">
        <v>97</v>
      </c>
      <c r="D188" t="s">
        <v>144</v>
      </c>
      <c r="F188" t="s">
        <v>145</v>
      </c>
    </row>
    <row r="189" spans="1:6">
      <c r="A189" t="s">
        <v>1482</v>
      </c>
      <c r="B189" t="s">
        <v>1124</v>
      </c>
      <c r="C189" t="s">
        <v>98</v>
      </c>
      <c r="D189" t="s">
        <v>144</v>
      </c>
      <c r="F189" t="s">
        <v>145</v>
      </c>
    </row>
    <row r="190" spans="1:6">
      <c r="A190" t="s">
        <v>1482</v>
      </c>
      <c r="B190" t="s">
        <v>1124</v>
      </c>
      <c r="C190" t="s">
        <v>100</v>
      </c>
      <c r="D190" t="s">
        <v>144</v>
      </c>
      <c r="F190" t="s">
        <v>145</v>
      </c>
    </row>
    <row r="191" spans="1:6">
      <c r="A191" t="s">
        <v>1482</v>
      </c>
      <c r="B191" t="s">
        <v>856</v>
      </c>
      <c r="C191" t="s">
        <v>902</v>
      </c>
      <c r="D191" t="s">
        <v>164</v>
      </c>
      <c r="F191" t="s">
        <v>145</v>
      </c>
    </row>
    <row r="192" spans="1:6">
      <c r="A192" t="s">
        <v>1482</v>
      </c>
      <c r="B192" t="s">
        <v>856</v>
      </c>
      <c r="C192" t="s">
        <v>905</v>
      </c>
      <c r="D192" t="s">
        <v>144</v>
      </c>
      <c r="F192" t="s">
        <v>145</v>
      </c>
    </row>
    <row r="193" spans="1:6">
      <c r="A193" t="s">
        <v>1482</v>
      </c>
      <c r="B193" t="s">
        <v>856</v>
      </c>
      <c r="C193" t="s">
        <v>906</v>
      </c>
      <c r="D193" t="s">
        <v>144</v>
      </c>
      <c r="F193" t="s">
        <v>145</v>
      </c>
    </row>
    <row r="194" spans="1:6">
      <c r="A194" t="s">
        <v>1482</v>
      </c>
      <c r="B194" t="s">
        <v>856</v>
      </c>
      <c r="C194" t="s">
        <v>907</v>
      </c>
      <c r="D194" t="s">
        <v>144</v>
      </c>
      <c r="F194" t="s">
        <v>145</v>
      </c>
    </row>
    <row r="195" spans="1:6">
      <c r="A195" t="s">
        <v>1482</v>
      </c>
      <c r="B195" t="s">
        <v>856</v>
      </c>
      <c r="C195" t="s">
        <v>908</v>
      </c>
      <c r="D195" t="s">
        <v>144</v>
      </c>
      <c r="F195" t="s">
        <v>145</v>
      </c>
    </row>
    <row r="196" spans="1:6">
      <c r="A196" t="s">
        <v>1482</v>
      </c>
      <c r="B196" t="s">
        <v>647</v>
      </c>
      <c r="C196" t="s">
        <v>900</v>
      </c>
      <c r="D196" t="s">
        <v>164</v>
      </c>
      <c r="F196" t="s">
        <v>647</v>
      </c>
    </row>
    <row r="197" spans="1:6">
      <c r="A197" t="s">
        <v>1482</v>
      </c>
      <c r="B197" t="s">
        <v>647</v>
      </c>
      <c r="C197" t="s">
        <v>909</v>
      </c>
      <c r="D197" t="s">
        <v>144</v>
      </c>
      <c r="F197" t="s">
        <v>647</v>
      </c>
    </row>
    <row r="198" spans="1:6">
      <c r="A198" t="s">
        <v>1482</v>
      </c>
      <c r="B198" t="s">
        <v>647</v>
      </c>
      <c r="C198" t="s">
        <v>910</v>
      </c>
      <c r="D198" t="s">
        <v>144</v>
      </c>
      <c r="F198" t="s">
        <v>647</v>
      </c>
    </row>
    <row r="199" spans="1:6">
      <c r="A199" t="s">
        <v>1482</v>
      </c>
      <c r="B199" t="s">
        <v>384</v>
      </c>
      <c r="C199" t="s">
        <v>911</v>
      </c>
      <c r="D199" t="s">
        <v>164</v>
      </c>
      <c r="F199" t="s">
        <v>145</v>
      </c>
    </row>
    <row r="200" spans="1:6">
      <c r="A200" t="s">
        <v>1482</v>
      </c>
      <c r="B200" t="s">
        <v>384</v>
      </c>
      <c r="C200" t="s">
        <v>912</v>
      </c>
      <c r="D200" t="s">
        <v>144</v>
      </c>
      <c r="F200" t="s">
        <v>145</v>
      </c>
    </row>
    <row r="201" spans="1:6">
      <c r="A201" t="s">
        <v>1482</v>
      </c>
      <c r="B201" t="s">
        <v>384</v>
      </c>
      <c r="C201" t="s">
        <v>913</v>
      </c>
      <c r="D201" t="s">
        <v>144</v>
      </c>
      <c r="F201" t="s">
        <v>145</v>
      </c>
    </row>
    <row r="202" spans="1:6">
      <c r="A202" t="s">
        <v>1482</v>
      </c>
      <c r="B202" t="s">
        <v>384</v>
      </c>
      <c r="C202" t="s">
        <v>914</v>
      </c>
      <c r="D202" t="s">
        <v>144</v>
      </c>
      <c r="F202" t="s">
        <v>145</v>
      </c>
    </row>
    <row r="203" spans="1:6">
      <c r="A203" t="s">
        <v>1482</v>
      </c>
      <c r="B203" t="s">
        <v>535</v>
      </c>
      <c r="C203" t="s">
        <v>841</v>
      </c>
      <c r="D203" t="s">
        <v>164</v>
      </c>
      <c r="F203" t="s">
        <v>145</v>
      </c>
    </row>
    <row r="204" spans="1:6">
      <c r="A204" t="s">
        <v>1482</v>
      </c>
      <c r="B204" t="s">
        <v>535</v>
      </c>
      <c r="C204" t="s">
        <v>915</v>
      </c>
      <c r="D204" t="s">
        <v>144</v>
      </c>
      <c r="F204" t="s">
        <v>145</v>
      </c>
    </row>
    <row r="205" spans="1:6">
      <c r="A205" t="s">
        <v>1482</v>
      </c>
      <c r="B205" t="s">
        <v>535</v>
      </c>
      <c r="C205" t="s">
        <v>916</v>
      </c>
      <c r="D205" t="s">
        <v>144</v>
      </c>
      <c r="F205" t="s">
        <v>145</v>
      </c>
    </row>
    <row r="206" spans="1:6">
      <c r="A206" t="s">
        <v>1482</v>
      </c>
      <c r="B206" t="s">
        <v>535</v>
      </c>
      <c r="C206" t="s">
        <v>917</v>
      </c>
      <c r="D206" t="s">
        <v>144</v>
      </c>
      <c r="F206" t="s">
        <v>145</v>
      </c>
    </row>
    <row r="207" spans="1:6">
      <c r="A207" t="s">
        <v>1482</v>
      </c>
      <c r="B207" t="s">
        <v>1466</v>
      </c>
      <c r="C207" t="s">
        <v>918</v>
      </c>
      <c r="D207" t="s">
        <v>164</v>
      </c>
      <c r="F207" t="s">
        <v>145</v>
      </c>
    </row>
    <row r="208" spans="1:6">
      <c r="A208" t="s">
        <v>1482</v>
      </c>
      <c r="B208" t="s">
        <v>1466</v>
      </c>
      <c r="C208" t="s">
        <v>919</v>
      </c>
      <c r="D208" t="s">
        <v>144</v>
      </c>
      <c r="F208" t="s">
        <v>145</v>
      </c>
    </row>
    <row r="209" spans="1:6">
      <c r="A209" t="s">
        <v>1482</v>
      </c>
      <c r="B209" t="s">
        <v>1466</v>
      </c>
      <c r="C209" t="s">
        <v>920</v>
      </c>
      <c r="D209" t="s">
        <v>144</v>
      </c>
      <c r="F209" t="s">
        <v>145</v>
      </c>
    </row>
    <row r="210" spans="1:6">
      <c r="A210" t="s">
        <v>1482</v>
      </c>
      <c r="B210" t="s">
        <v>1466</v>
      </c>
      <c r="C210" t="s">
        <v>921</v>
      </c>
      <c r="D210" t="s">
        <v>144</v>
      </c>
      <c r="F210" t="s">
        <v>145</v>
      </c>
    </row>
    <row r="211" spans="1:6">
      <c r="A211" t="s">
        <v>1482</v>
      </c>
      <c r="B211" t="s">
        <v>1466</v>
      </c>
      <c r="C211" t="s">
        <v>922</v>
      </c>
      <c r="D211" t="s">
        <v>144</v>
      </c>
      <c r="F211" t="s">
        <v>145</v>
      </c>
    </row>
    <row r="212" spans="1:6">
      <c r="A212" t="s">
        <v>1482</v>
      </c>
      <c r="B212" t="s">
        <v>1466</v>
      </c>
      <c r="C212" t="s">
        <v>923</v>
      </c>
      <c r="D212" t="s">
        <v>144</v>
      </c>
      <c r="F212" t="s">
        <v>145</v>
      </c>
    </row>
    <row r="213" spans="1:6">
      <c r="A213" t="s">
        <v>1482</v>
      </c>
      <c r="B213" t="s">
        <v>924</v>
      </c>
      <c r="C213" t="s">
        <v>925</v>
      </c>
      <c r="D213" t="s">
        <v>144</v>
      </c>
      <c r="F213" t="s">
        <v>145</v>
      </c>
    </row>
    <row r="214" spans="1:6">
      <c r="A214" t="s">
        <v>1482</v>
      </c>
      <c r="B214" t="s">
        <v>924</v>
      </c>
      <c r="C214" t="s">
        <v>926</v>
      </c>
      <c r="D214" t="s">
        <v>144</v>
      </c>
      <c r="F214" t="s">
        <v>145</v>
      </c>
    </row>
    <row r="215" spans="1:6">
      <c r="A215" t="s">
        <v>1482</v>
      </c>
      <c r="B215" t="s">
        <v>924</v>
      </c>
      <c r="C215" t="s">
        <v>927</v>
      </c>
      <c r="D215" t="s">
        <v>144</v>
      </c>
      <c r="F215" t="s">
        <v>145</v>
      </c>
    </row>
    <row r="216" spans="1:6">
      <c r="A216" t="s">
        <v>1482</v>
      </c>
      <c r="B216" t="s">
        <v>158</v>
      </c>
      <c r="C216" t="s">
        <v>873</v>
      </c>
      <c r="D216" t="s">
        <v>217</v>
      </c>
      <c r="F216" t="s">
        <v>145</v>
      </c>
    </row>
    <row r="217" spans="1:6">
      <c r="A217" t="s">
        <v>1482</v>
      </c>
      <c r="B217" t="s">
        <v>158</v>
      </c>
      <c r="C217" t="s">
        <v>898</v>
      </c>
      <c r="D217" t="s">
        <v>217</v>
      </c>
      <c r="F217" t="s">
        <v>145</v>
      </c>
    </row>
    <row r="218" spans="1:6">
      <c r="A218" t="s">
        <v>1482</v>
      </c>
      <c r="B218" t="s">
        <v>158</v>
      </c>
      <c r="C218" t="s">
        <v>928</v>
      </c>
      <c r="D218" t="s">
        <v>217</v>
      </c>
      <c r="F218" t="s">
        <v>145</v>
      </c>
    </row>
    <row r="219" spans="1:6">
      <c r="A219" t="s">
        <v>1482</v>
      </c>
      <c r="B219" t="s">
        <v>158</v>
      </c>
      <c r="C219" t="s">
        <v>69</v>
      </c>
      <c r="D219" t="s">
        <v>219</v>
      </c>
      <c r="F219" t="s">
        <v>145</v>
      </c>
    </row>
    <row r="220" spans="1:6">
      <c r="A220" t="s">
        <v>1482</v>
      </c>
      <c r="B220" t="s">
        <v>158</v>
      </c>
      <c r="C220" t="s">
        <v>257</v>
      </c>
      <c r="D220" t="s">
        <v>160</v>
      </c>
      <c r="F220" t="s">
        <v>145</v>
      </c>
    </row>
    <row r="221" spans="1:6">
      <c r="A221" t="s">
        <v>1482</v>
      </c>
      <c r="B221" t="s">
        <v>158</v>
      </c>
      <c r="C221" t="s">
        <v>887</v>
      </c>
      <c r="D221" t="s">
        <v>836</v>
      </c>
      <c r="F221" t="s">
        <v>337</v>
      </c>
    </row>
    <row r="222" spans="1:6">
      <c r="A222" t="s">
        <v>1483</v>
      </c>
      <c r="B222" t="s">
        <v>856</v>
      </c>
      <c r="C222" t="s">
        <v>908</v>
      </c>
      <c r="D222" t="s">
        <v>164</v>
      </c>
      <c r="F222" t="s">
        <v>145</v>
      </c>
    </row>
    <row r="223" spans="1:6">
      <c r="A223" t="s">
        <v>1483</v>
      </c>
      <c r="B223" t="s">
        <v>856</v>
      </c>
      <c r="C223" t="s">
        <v>930</v>
      </c>
      <c r="D223" t="s">
        <v>144</v>
      </c>
      <c r="F223" t="s">
        <v>145</v>
      </c>
    </row>
    <row r="224" spans="1:6">
      <c r="A224" t="s">
        <v>1483</v>
      </c>
      <c r="B224" t="s">
        <v>856</v>
      </c>
      <c r="C224" t="s">
        <v>931</v>
      </c>
      <c r="D224" t="s">
        <v>144</v>
      </c>
      <c r="F224" t="s">
        <v>145</v>
      </c>
    </row>
    <row r="225" spans="1:6">
      <c r="A225" t="s">
        <v>1483</v>
      </c>
      <c r="B225" t="s">
        <v>856</v>
      </c>
      <c r="C225" t="s">
        <v>932</v>
      </c>
      <c r="D225" t="s">
        <v>144</v>
      </c>
      <c r="F225" t="s">
        <v>145</v>
      </c>
    </row>
    <row r="226" spans="1:6">
      <c r="A226" t="s">
        <v>1483</v>
      </c>
      <c r="B226" t="s">
        <v>856</v>
      </c>
      <c r="C226" t="s">
        <v>933</v>
      </c>
      <c r="D226" t="s">
        <v>144</v>
      </c>
      <c r="F226" t="s">
        <v>145</v>
      </c>
    </row>
    <row r="227" spans="1:6">
      <c r="A227" t="s">
        <v>1483</v>
      </c>
      <c r="B227" t="s">
        <v>384</v>
      </c>
      <c r="C227" t="s">
        <v>913</v>
      </c>
      <c r="D227" t="s">
        <v>164</v>
      </c>
      <c r="F227" t="s">
        <v>145</v>
      </c>
    </row>
    <row r="228" spans="1:6">
      <c r="A228" t="s">
        <v>1483</v>
      </c>
      <c r="B228" t="s">
        <v>384</v>
      </c>
      <c r="C228" t="s">
        <v>934</v>
      </c>
      <c r="D228" t="s">
        <v>144</v>
      </c>
      <c r="F228" t="s">
        <v>145</v>
      </c>
    </row>
    <row r="229" spans="1:6">
      <c r="A229" t="s">
        <v>1483</v>
      </c>
      <c r="B229" t="s">
        <v>384</v>
      </c>
      <c r="C229" t="s">
        <v>935</v>
      </c>
      <c r="D229" t="s">
        <v>144</v>
      </c>
      <c r="F229" t="s">
        <v>145</v>
      </c>
    </row>
    <row r="230" spans="1:6">
      <c r="A230" t="s">
        <v>1483</v>
      </c>
      <c r="B230" t="s">
        <v>384</v>
      </c>
      <c r="C230" t="s">
        <v>936</v>
      </c>
      <c r="D230" t="s">
        <v>144</v>
      </c>
      <c r="F230" t="s">
        <v>145</v>
      </c>
    </row>
    <row r="231" spans="1:6">
      <c r="A231" t="s">
        <v>1483</v>
      </c>
      <c r="B231" t="s">
        <v>384</v>
      </c>
      <c r="C231" t="s">
        <v>937</v>
      </c>
      <c r="D231" t="s">
        <v>144</v>
      </c>
      <c r="F231" t="s">
        <v>145</v>
      </c>
    </row>
    <row r="232" spans="1:6">
      <c r="A232" t="s">
        <v>1483</v>
      </c>
      <c r="B232" t="s">
        <v>384</v>
      </c>
      <c r="C232" t="s">
        <v>938</v>
      </c>
      <c r="D232" t="s">
        <v>144</v>
      </c>
      <c r="F232" t="s">
        <v>145</v>
      </c>
    </row>
    <row r="233" spans="1:6">
      <c r="A233" t="s">
        <v>1483</v>
      </c>
      <c r="B233" t="s">
        <v>647</v>
      </c>
      <c r="C233" t="s">
        <v>910</v>
      </c>
      <c r="D233" t="s">
        <v>164</v>
      </c>
      <c r="F233" t="s">
        <v>647</v>
      </c>
    </row>
    <row r="234" spans="1:6">
      <c r="A234" t="s">
        <v>1483</v>
      </c>
      <c r="B234" t="s">
        <v>647</v>
      </c>
      <c r="C234" t="s">
        <v>939</v>
      </c>
      <c r="D234" t="s">
        <v>144</v>
      </c>
      <c r="F234" t="s">
        <v>647</v>
      </c>
    </row>
    <row r="235" spans="1:6">
      <c r="A235" t="s">
        <v>1483</v>
      </c>
      <c r="B235" t="s">
        <v>647</v>
      </c>
      <c r="C235" t="s">
        <v>940</v>
      </c>
      <c r="D235" t="s">
        <v>144</v>
      </c>
      <c r="F235" t="s">
        <v>647</v>
      </c>
    </row>
    <row r="236" spans="1:6">
      <c r="A236" t="s">
        <v>1483</v>
      </c>
      <c r="B236" t="s">
        <v>647</v>
      </c>
      <c r="C236" t="s">
        <v>941</v>
      </c>
      <c r="D236" t="s">
        <v>144</v>
      </c>
      <c r="F236" t="s">
        <v>647</v>
      </c>
    </row>
    <row r="237" spans="1:6">
      <c r="A237" t="s">
        <v>1483</v>
      </c>
      <c r="B237" t="s">
        <v>647</v>
      </c>
      <c r="C237" t="s">
        <v>942</v>
      </c>
      <c r="D237" t="s">
        <v>144</v>
      </c>
      <c r="F237" t="s">
        <v>647</v>
      </c>
    </row>
    <row r="238" spans="1:6">
      <c r="A238" t="s">
        <v>1483</v>
      </c>
      <c r="B238" t="s">
        <v>535</v>
      </c>
      <c r="C238" t="s">
        <v>916</v>
      </c>
      <c r="D238" t="s">
        <v>164</v>
      </c>
      <c r="F238" t="s">
        <v>145</v>
      </c>
    </row>
    <row r="239" spans="1:6">
      <c r="A239" t="s">
        <v>1483</v>
      </c>
      <c r="B239" t="s">
        <v>535</v>
      </c>
      <c r="C239" t="s">
        <v>943</v>
      </c>
      <c r="D239" t="s">
        <v>144</v>
      </c>
      <c r="F239" t="s">
        <v>145</v>
      </c>
    </row>
    <row r="240" spans="1:6">
      <c r="A240" t="s">
        <v>1483</v>
      </c>
      <c r="B240" t="s">
        <v>535</v>
      </c>
      <c r="C240" t="s">
        <v>944</v>
      </c>
      <c r="D240" t="s">
        <v>144</v>
      </c>
      <c r="F240" t="s">
        <v>145</v>
      </c>
    </row>
    <row r="241" spans="1:6">
      <c r="A241" t="s">
        <v>1483</v>
      </c>
      <c r="B241" t="s">
        <v>535</v>
      </c>
      <c r="C241" t="s">
        <v>945</v>
      </c>
      <c r="D241" t="s">
        <v>144</v>
      </c>
      <c r="F241" t="s">
        <v>145</v>
      </c>
    </row>
    <row r="242" spans="1:6">
      <c r="A242" t="s">
        <v>1483</v>
      </c>
      <c r="B242" t="s">
        <v>1466</v>
      </c>
      <c r="C242" t="s">
        <v>921</v>
      </c>
      <c r="D242" t="s">
        <v>164</v>
      </c>
      <c r="F242" t="s">
        <v>145</v>
      </c>
    </row>
    <row r="243" spans="1:6">
      <c r="A243" t="s">
        <v>1483</v>
      </c>
      <c r="B243" t="s">
        <v>1466</v>
      </c>
      <c r="C243" t="s">
        <v>946</v>
      </c>
      <c r="D243" t="s">
        <v>144</v>
      </c>
      <c r="F243" t="s">
        <v>145</v>
      </c>
    </row>
    <row r="244" spans="1:6">
      <c r="A244" t="s">
        <v>1483</v>
      </c>
      <c r="B244" t="s">
        <v>1466</v>
      </c>
      <c r="C244" t="s">
        <v>947</v>
      </c>
      <c r="D244" t="s">
        <v>144</v>
      </c>
      <c r="F244" t="s">
        <v>145</v>
      </c>
    </row>
    <row r="245" spans="1:6">
      <c r="A245" t="s">
        <v>1483</v>
      </c>
      <c r="B245" t="s">
        <v>1466</v>
      </c>
      <c r="C245" t="s">
        <v>948</v>
      </c>
      <c r="D245" t="s">
        <v>144</v>
      </c>
      <c r="F245" t="s">
        <v>145</v>
      </c>
    </row>
    <row r="246" spans="1:6">
      <c r="A246" t="s">
        <v>1483</v>
      </c>
      <c r="B246" t="s">
        <v>1466</v>
      </c>
      <c r="C246" t="s">
        <v>949</v>
      </c>
      <c r="D246" t="s">
        <v>144</v>
      </c>
      <c r="F246" t="s">
        <v>145</v>
      </c>
    </row>
    <row r="247" spans="1:6">
      <c r="A247" t="s">
        <v>1483</v>
      </c>
      <c r="B247" t="s">
        <v>1467</v>
      </c>
      <c r="C247" t="s">
        <v>904</v>
      </c>
      <c r="D247" t="s">
        <v>164</v>
      </c>
      <c r="F247" t="s">
        <v>145</v>
      </c>
    </row>
    <row r="248" spans="1:6">
      <c r="A248" t="s">
        <v>1483</v>
      </c>
      <c r="B248" t="s">
        <v>1467</v>
      </c>
      <c r="C248" t="s">
        <v>950</v>
      </c>
      <c r="D248" t="s">
        <v>144</v>
      </c>
      <c r="F248" t="s">
        <v>145</v>
      </c>
    </row>
    <row r="249" spans="1:6">
      <c r="A249" t="s">
        <v>1483</v>
      </c>
      <c r="B249" t="s">
        <v>1467</v>
      </c>
      <c r="C249" t="s">
        <v>951</v>
      </c>
      <c r="D249" t="s">
        <v>144</v>
      </c>
      <c r="F249" t="s">
        <v>145</v>
      </c>
    </row>
    <row r="250" spans="1:6">
      <c r="A250" t="s">
        <v>1483</v>
      </c>
      <c r="B250" t="s">
        <v>1467</v>
      </c>
      <c r="C250" t="s">
        <v>952</v>
      </c>
      <c r="D250" t="s">
        <v>144</v>
      </c>
      <c r="F250" t="s">
        <v>145</v>
      </c>
    </row>
    <row r="251" spans="1:6">
      <c r="A251" t="s">
        <v>1483</v>
      </c>
      <c r="B251" t="s">
        <v>1467</v>
      </c>
      <c r="C251" t="s">
        <v>953</v>
      </c>
      <c r="D251" t="s">
        <v>144</v>
      </c>
      <c r="F251" t="s">
        <v>145</v>
      </c>
    </row>
    <row r="252" spans="1:6">
      <c r="A252" t="s">
        <v>1483</v>
      </c>
      <c r="B252" t="s">
        <v>924</v>
      </c>
      <c r="C252" t="s">
        <v>954</v>
      </c>
      <c r="D252" t="s">
        <v>144</v>
      </c>
      <c r="F252" t="s">
        <v>145</v>
      </c>
    </row>
    <row r="253" spans="1:6">
      <c r="A253" t="s">
        <v>1483</v>
      </c>
      <c r="B253" t="s">
        <v>924</v>
      </c>
      <c r="C253" t="s">
        <v>955</v>
      </c>
      <c r="D253" t="s">
        <v>144</v>
      </c>
      <c r="F253" t="s">
        <v>145</v>
      </c>
    </row>
    <row r="254" spans="1:6">
      <c r="A254" t="s">
        <v>1483</v>
      </c>
      <c r="B254" t="s">
        <v>924</v>
      </c>
      <c r="C254" t="s">
        <v>925</v>
      </c>
      <c r="D254" t="s">
        <v>144</v>
      </c>
      <c r="F254" t="s">
        <v>145</v>
      </c>
    </row>
    <row r="255" spans="1:6">
      <c r="A255" t="s">
        <v>1483</v>
      </c>
      <c r="B255" t="s">
        <v>924</v>
      </c>
      <c r="C255" t="s">
        <v>956</v>
      </c>
      <c r="D255" t="s">
        <v>144</v>
      </c>
      <c r="F255" t="s">
        <v>145</v>
      </c>
    </row>
    <row r="256" spans="1:6">
      <c r="A256" t="s">
        <v>1483</v>
      </c>
      <c r="B256" t="s">
        <v>924</v>
      </c>
      <c r="C256" t="s">
        <v>900</v>
      </c>
      <c r="D256" t="s">
        <v>144</v>
      </c>
      <c r="F256" t="s">
        <v>145</v>
      </c>
    </row>
    <row r="257" spans="1:6">
      <c r="A257" t="s">
        <v>1483</v>
      </c>
      <c r="B257" t="s">
        <v>924</v>
      </c>
      <c r="C257" t="s">
        <v>896</v>
      </c>
      <c r="D257" t="s">
        <v>144</v>
      </c>
      <c r="F257" t="s">
        <v>145</v>
      </c>
    </row>
    <row r="258" spans="1:6">
      <c r="A258" t="s">
        <v>1483</v>
      </c>
      <c r="B258" t="s">
        <v>924</v>
      </c>
      <c r="C258" t="s">
        <v>957</v>
      </c>
      <c r="D258" t="s">
        <v>144</v>
      </c>
      <c r="F258" t="s">
        <v>145</v>
      </c>
    </row>
    <row r="259" spans="1:6">
      <c r="A259" t="s">
        <v>1483</v>
      </c>
      <c r="B259" t="s">
        <v>158</v>
      </c>
      <c r="C259" t="s">
        <v>873</v>
      </c>
      <c r="D259" t="s">
        <v>217</v>
      </c>
      <c r="F259" t="s">
        <v>145</v>
      </c>
    </row>
    <row r="260" spans="1:6">
      <c r="A260" t="s">
        <v>1483</v>
      </c>
      <c r="B260" t="s">
        <v>158</v>
      </c>
      <c r="C260" t="s">
        <v>928</v>
      </c>
      <c r="D260" t="s">
        <v>217</v>
      </c>
      <c r="F260" t="s">
        <v>145</v>
      </c>
    </row>
    <row r="261" spans="1:6">
      <c r="A261" t="s">
        <v>1483</v>
      </c>
      <c r="B261" t="s">
        <v>158</v>
      </c>
      <c r="C261" t="s">
        <v>898</v>
      </c>
      <c r="D261" t="s">
        <v>217</v>
      </c>
      <c r="F261" t="s">
        <v>145</v>
      </c>
    </row>
    <row r="262" spans="1:6">
      <c r="A262" t="s">
        <v>1483</v>
      </c>
      <c r="B262" t="s">
        <v>158</v>
      </c>
      <c r="C262" t="s">
        <v>69</v>
      </c>
      <c r="D262" t="s">
        <v>219</v>
      </c>
      <c r="F262" t="s">
        <v>145</v>
      </c>
    </row>
    <row r="263" spans="1:6">
      <c r="A263" t="s">
        <v>1483</v>
      </c>
      <c r="B263" t="s">
        <v>158</v>
      </c>
      <c r="C263" t="s">
        <v>257</v>
      </c>
      <c r="D263" t="s">
        <v>160</v>
      </c>
      <c r="F263" t="s">
        <v>145</v>
      </c>
    </row>
    <row r="264" spans="1:6">
      <c r="A264" t="s">
        <v>1483</v>
      </c>
      <c r="B264" t="s">
        <v>158</v>
      </c>
      <c r="C264" t="s">
        <v>887</v>
      </c>
      <c r="D264" t="s">
        <v>836</v>
      </c>
      <c r="F264" t="s">
        <v>337</v>
      </c>
    </row>
    <row r="265" spans="1:6">
      <c r="A265" t="s">
        <v>1484</v>
      </c>
      <c r="B265" t="s">
        <v>1124</v>
      </c>
      <c r="C265" t="s">
        <v>112</v>
      </c>
      <c r="D265" t="s">
        <v>164</v>
      </c>
      <c r="F265" t="s">
        <v>145</v>
      </c>
    </row>
    <row r="266" spans="1:6">
      <c r="A266" t="s">
        <v>1484</v>
      </c>
      <c r="B266" t="s">
        <v>1124</v>
      </c>
      <c r="C266" t="s">
        <v>108</v>
      </c>
      <c r="D266" t="s">
        <v>144</v>
      </c>
      <c r="F266" t="s">
        <v>145</v>
      </c>
    </row>
    <row r="267" spans="1:6">
      <c r="A267" t="s">
        <v>1484</v>
      </c>
      <c r="B267" t="s">
        <v>1124</v>
      </c>
      <c r="C267" t="s">
        <v>109</v>
      </c>
      <c r="D267" t="s">
        <v>144</v>
      </c>
      <c r="F267" t="s">
        <v>145</v>
      </c>
    </row>
    <row r="268" spans="1:6">
      <c r="A268" t="s">
        <v>1484</v>
      </c>
      <c r="B268" t="s">
        <v>1124</v>
      </c>
      <c r="C268" t="s">
        <v>110</v>
      </c>
      <c r="D268" t="s">
        <v>144</v>
      </c>
      <c r="F268" t="s">
        <v>145</v>
      </c>
    </row>
    <row r="269" spans="1:6">
      <c r="A269" t="s">
        <v>1484</v>
      </c>
      <c r="B269" t="s">
        <v>1124</v>
      </c>
      <c r="C269" t="s">
        <v>107</v>
      </c>
      <c r="D269" t="s">
        <v>144</v>
      </c>
      <c r="F269" t="s">
        <v>145</v>
      </c>
    </row>
    <row r="270" spans="1:6">
      <c r="A270" t="s">
        <v>1484</v>
      </c>
      <c r="B270" t="s">
        <v>1124</v>
      </c>
      <c r="C270" t="s">
        <v>111</v>
      </c>
      <c r="D270" t="s">
        <v>144</v>
      </c>
      <c r="F270" t="s">
        <v>145</v>
      </c>
    </row>
    <row r="271" spans="1:6">
      <c r="A271" t="s">
        <v>1484</v>
      </c>
      <c r="B271" t="s">
        <v>856</v>
      </c>
      <c r="C271" t="s">
        <v>958</v>
      </c>
      <c r="D271" t="s">
        <v>164</v>
      </c>
      <c r="F271" t="s">
        <v>145</v>
      </c>
    </row>
    <row r="272" spans="1:6">
      <c r="A272" t="s">
        <v>1484</v>
      </c>
      <c r="B272" t="s">
        <v>856</v>
      </c>
      <c r="C272" t="s">
        <v>959</v>
      </c>
      <c r="D272" t="s">
        <v>144</v>
      </c>
      <c r="F272" t="s">
        <v>145</v>
      </c>
    </row>
    <row r="273" spans="1:6">
      <c r="A273" t="s">
        <v>1484</v>
      </c>
      <c r="B273" t="s">
        <v>856</v>
      </c>
      <c r="C273" t="s">
        <v>960</v>
      </c>
      <c r="D273" t="s">
        <v>144</v>
      </c>
      <c r="F273" t="s">
        <v>145</v>
      </c>
    </row>
    <row r="274" spans="1:6">
      <c r="A274" t="s">
        <v>1484</v>
      </c>
      <c r="B274" t="s">
        <v>856</v>
      </c>
      <c r="C274" t="s">
        <v>961</v>
      </c>
      <c r="D274" t="s">
        <v>144</v>
      </c>
      <c r="F274" t="s">
        <v>145</v>
      </c>
    </row>
    <row r="275" spans="1:6">
      <c r="A275" t="s">
        <v>1484</v>
      </c>
      <c r="B275" t="s">
        <v>856</v>
      </c>
      <c r="C275" t="s">
        <v>962</v>
      </c>
      <c r="D275" t="s">
        <v>144</v>
      </c>
      <c r="F275" t="s">
        <v>145</v>
      </c>
    </row>
    <row r="276" spans="1:6">
      <c r="A276" t="s">
        <v>1484</v>
      </c>
      <c r="B276" t="s">
        <v>384</v>
      </c>
      <c r="C276" t="s">
        <v>936</v>
      </c>
      <c r="D276" t="s">
        <v>164</v>
      </c>
      <c r="F276" t="s">
        <v>145</v>
      </c>
    </row>
    <row r="277" spans="1:6">
      <c r="A277" t="s">
        <v>1484</v>
      </c>
      <c r="B277" t="s">
        <v>384</v>
      </c>
      <c r="C277" t="s">
        <v>963</v>
      </c>
      <c r="D277" t="s">
        <v>144</v>
      </c>
      <c r="F277" t="s">
        <v>145</v>
      </c>
    </row>
    <row r="278" spans="1:6">
      <c r="A278" t="s">
        <v>1484</v>
      </c>
      <c r="B278" t="s">
        <v>384</v>
      </c>
      <c r="C278" t="s">
        <v>964</v>
      </c>
      <c r="D278" t="s">
        <v>144</v>
      </c>
      <c r="F278" t="s">
        <v>145</v>
      </c>
    </row>
    <row r="279" spans="1:6">
      <c r="A279" t="s">
        <v>1484</v>
      </c>
      <c r="B279" t="s">
        <v>384</v>
      </c>
      <c r="C279" t="s">
        <v>957</v>
      </c>
      <c r="D279" t="s">
        <v>144</v>
      </c>
      <c r="F279" t="s">
        <v>145</v>
      </c>
    </row>
    <row r="280" spans="1:6">
      <c r="A280" t="s">
        <v>1484</v>
      </c>
      <c r="B280" t="s">
        <v>384</v>
      </c>
      <c r="C280" t="s">
        <v>965</v>
      </c>
      <c r="D280" t="s">
        <v>144</v>
      </c>
      <c r="F280" t="s">
        <v>145</v>
      </c>
    </row>
    <row r="281" spans="1:6">
      <c r="A281" t="s">
        <v>1484</v>
      </c>
      <c r="B281" t="s">
        <v>647</v>
      </c>
      <c r="C281" t="s">
        <v>942</v>
      </c>
      <c r="D281" t="s">
        <v>164</v>
      </c>
      <c r="F281" t="s">
        <v>647</v>
      </c>
    </row>
    <row r="282" spans="1:6">
      <c r="A282" t="s">
        <v>1484</v>
      </c>
      <c r="B282" t="s">
        <v>647</v>
      </c>
      <c r="C282" t="s">
        <v>966</v>
      </c>
      <c r="D282" t="s">
        <v>144</v>
      </c>
      <c r="F282" t="s">
        <v>647</v>
      </c>
    </row>
    <row r="283" spans="1:6">
      <c r="A283" t="s">
        <v>1484</v>
      </c>
      <c r="B283" t="s">
        <v>647</v>
      </c>
      <c r="C283" t="s">
        <v>954</v>
      </c>
      <c r="D283" t="s">
        <v>144</v>
      </c>
      <c r="F283" t="s">
        <v>647</v>
      </c>
    </row>
    <row r="284" spans="1:6">
      <c r="A284" t="s">
        <v>1484</v>
      </c>
      <c r="B284" t="s">
        <v>647</v>
      </c>
      <c r="C284" t="s">
        <v>967</v>
      </c>
      <c r="D284" t="s">
        <v>144</v>
      </c>
      <c r="F284" t="s">
        <v>647</v>
      </c>
    </row>
    <row r="285" spans="1:6">
      <c r="A285" t="s">
        <v>1484</v>
      </c>
      <c r="B285" t="s">
        <v>647</v>
      </c>
      <c r="C285" t="s">
        <v>968</v>
      </c>
      <c r="D285" t="s">
        <v>144</v>
      </c>
      <c r="F285" t="s">
        <v>647</v>
      </c>
    </row>
    <row r="286" spans="1:6">
      <c r="A286" t="s">
        <v>1484</v>
      </c>
      <c r="B286" t="s">
        <v>535</v>
      </c>
      <c r="C286" t="s">
        <v>945</v>
      </c>
      <c r="D286" t="s">
        <v>164</v>
      </c>
      <c r="F286" t="s">
        <v>145</v>
      </c>
    </row>
    <row r="287" spans="1:6">
      <c r="A287" t="s">
        <v>1484</v>
      </c>
      <c r="B287" t="s">
        <v>535</v>
      </c>
      <c r="C287" t="s">
        <v>969</v>
      </c>
      <c r="D287" t="s">
        <v>144</v>
      </c>
      <c r="F287" t="s">
        <v>145</v>
      </c>
    </row>
    <row r="288" spans="1:6">
      <c r="A288" t="s">
        <v>1484</v>
      </c>
      <c r="B288" t="s">
        <v>535</v>
      </c>
      <c r="C288" t="s">
        <v>970</v>
      </c>
      <c r="D288" t="s">
        <v>144</v>
      </c>
      <c r="F288" t="s">
        <v>145</v>
      </c>
    </row>
    <row r="289" spans="1:6">
      <c r="A289" t="s">
        <v>1484</v>
      </c>
      <c r="B289" t="s">
        <v>535</v>
      </c>
      <c r="C289" t="s">
        <v>971</v>
      </c>
      <c r="D289" t="s">
        <v>144</v>
      </c>
      <c r="F289" t="s">
        <v>145</v>
      </c>
    </row>
    <row r="290" spans="1:6">
      <c r="A290" t="s">
        <v>1484</v>
      </c>
      <c r="B290" t="s">
        <v>1466</v>
      </c>
      <c r="C290" t="s">
        <v>946</v>
      </c>
      <c r="D290" t="s">
        <v>164</v>
      </c>
      <c r="F290" t="s">
        <v>145</v>
      </c>
    </row>
    <row r="291" spans="1:6">
      <c r="A291" t="s">
        <v>1484</v>
      </c>
      <c r="B291" t="s">
        <v>1466</v>
      </c>
      <c r="C291" t="s">
        <v>972</v>
      </c>
      <c r="D291" t="s">
        <v>144</v>
      </c>
      <c r="F291" t="s">
        <v>145</v>
      </c>
    </row>
    <row r="292" spans="1:6">
      <c r="A292" t="s">
        <v>1484</v>
      </c>
      <c r="B292" t="s">
        <v>1466</v>
      </c>
      <c r="C292" t="s">
        <v>973</v>
      </c>
      <c r="D292" t="s">
        <v>144</v>
      </c>
      <c r="F292" t="s">
        <v>145</v>
      </c>
    </row>
    <row r="293" spans="1:6">
      <c r="A293" t="s">
        <v>1484</v>
      </c>
      <c r="B293" t="s">
        <v>1466</v>
      </c>
      <c r="C293" t="s">
        <v>974</v>
      </c>
      <c r="D293" t="s">
        <v>144</v>
      </c>
      <c r="F293" t="s">
        <v>145</v>
      </c>
    </row>
    <row r="294" spans="1:6">
      <c r="A294" t="s">
        <v>1484</v>
      </c>
      <c r="B294" t="s">
        <v>1466</v>
      </c>
      <c r="C294" t="s">
        <v>975</v>
      </c>
      <c r="D294" t="s">
        <v>144</v>
      </c>
      <c r="F294" t="s">
        <v>145</v>
      </c>
    </row>
    <row r="295" spans="1:6">
      <c r="A295" t="s">
        <v>1484</v>
      </c>
      <c r="B295" t="s">
        <v>1466</v>
      </c>
      <c r="C295" t="s">
        <v>976</v>
      </c>
      <c r="D295" t="s">
        <v>144</v>
      </c>
      <c r="F295" t="s">
        <v>145</v>
      </c>
    </row>
    <row r="296" spans="1:6">
      <c r="A296" t="s">
        <v>1484</v>
      </c>
      <c r="B296" t="s">
        <v>924</v>
      </c>
      <c r="C296" t="s">
        <v>910</v>
      </c>
      <c r="D296" t="s">
        <v>144</v>
      </c>
      <c r="F296" t="s">
        <v>145</v>
      </c>
    </row>
    <row r="297" spans="1:6">
      <c r="A297" t="s">
        <v>1484</v>
      </c>
      <c r="B297" t="s">
        <v>924</v>
      </c>
      <c r="C297" t="s">
        <v>934</v>
      </c>
      <c r="D297" t="s">
        <v>144</v>
      </c>
      <c r="F297" t="s">
        <v>145</v>
      </c>
    </row>
    <row r="298" spans="1:6">
      <c r="A298" t="s">
        <v>1484</v>
      </c>
      <c r="B298" t="s">
        <v>924</v>
      </c>
      <c r="C298" t="s">
        <v>977</v>
      </c>
      <c r="D298" t="s">
        <v>144</v>
      </c>
      <c r="F298" t="s">
        <v>145</v>
      </c>
    </row>
    <row r="299" spans="1:6">
      <c r="A299" t="s">
        <v>1484</v>
      </c>
      <c r="B299" t="s">
        <v>924</v>
      </c>
      <c r="C299" t="s">
        <v>978</v>
      </c>
      <c r="D299" t="s">
        <v>144</v>
      </c>
      <c r="F299" t="s">
        <v>145</v>
      </c>
    </row>
    <row r="300" spans="1:6">
      <c r="A300" t="s">
        <v>1484</v>
      </c>
      <c r="B300" t="s">
        <v>924</v>
      </c>
      <c r="C300" t="s">
        <v>902</v>
      </c>
      <c r="D300" t="s">
        <v>144</v>
      </c>
      <c r="F300" t="s">
        <v>145</v>
      </c>
    </row>
    <row r="301" spans="1:6">
      <c r="A301" t="s">
        <v>1484</v>
      </c>
      <c r="B301" t="s">
        <v>924</v>
      </c>
      <c r="C301" t="s">
        <v>979</v>
      </c>
      <c r="D301" t="s">
        <v>144</v>
      </c>
      <c r="F301" t="s">
        <v>145</v>
      </c>
    </row>
    <row r="302" spans="1:6">
      <c r="A302" t="s">
        <v>1484</v>
      </c>
      <c r="B302" t="s">
        <v>158</v>
      </c>
      <c r="C302" t="s">
        <v>900</v>
      </c>
      <c r="D302" t="s">
        <v>217</v>
      </c>
      <c r="F302" t="s">
        <v>145</v>
      </c>
    </row>
    <row r="303" spans="1:6">
      <c r="A303" t="s">
        <v>1484</v>
      </c>
      <c r="B303" t="s">
        <v>158</v>
      </c>
      <c r="C303" t="s">
        <v>99</v>
      </c>
      <c r="D303" t="s">
        <v>217</v>
      </c>
      <c r="F303" t="s">
        <v>145</v>
      </c>
    </row>
    <row r="304" spans="1:6">
      <c r="A304" t="s">
        <v>1484</v>
      </c>
      <c r="B304" t="s">
        <v>158</v>
      </c>
      <c r="C304" t="s">
        <v>873</v>
      </c>
      <c r="D304" t="s">
        <v>217</v>
      </c>
      <c r="F304" t="s">
        <v>145</v>
      </c>
    </row>
    <row r="305" spans="1:6">
      <c r="A305" t="s">
        <v>1484</v>
      </c>
      <c r="B305" t="s">
        <v>158</v>
      </c>
      <c r="C305" t="s">
        <v>980</v>
      </c>
      <c r="D305" t="s">
        <v>217</v>
      </c>
      <c r="F305" t="s">
        <v>647</v>
      </c>
    </row>
    <row r="306" spans="1:6">
      <c r="A306" t="s">
        <v>1484</v>
      </c>
      <c r="B306" t="s">
        <v>158</v>
      </c>
      <c r="C306" t="s">
        <v>69</v>
      </c>
      <c r="D306" t="s">
        <v>219</v>
      </c>
      <c r="F306" t="s">
        <v>145</v>
      </c>
    </row>
    <row r="307" spans="1:6">
      <c r="A307" t="s">
        <v>1484</v>
      </c>
      <c r="B307" t="s">
        <v>158</v>
      </c>
      <c r="C307" t="s">
        <v>257</v>
      </c>
      <c r="D307" t="s">
        <v>160</v>
      </c>
      <c r="F307" t="s">
        <v>145</v>
      </c>
    </row>
    <row r="308" spans="1:6">
      <c r="A308" t="s">
        <v>1484</v>
      </c>
      <c r="B308" t="s">
        <v>158</v>
      </c>
      <c r="C308" t="s">
        <v>887</v>
      </c>
      <c r="D308" t="s">
        <v>836</v>
      </c>
      <c r="F308" t="s">
        <v>337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719D-5CDC-4B82-87AD-A8C61EA32948}">
  <dimension ref="A1:F380"/>
  <sheetViews>
    <sheetView topLeftCell="A353" workbookViewId="0">
      <selection activeCell="E380" sqref="E380"/>
    </sheetView>
  </sheetViews>
  <sheetFormatPr defaultColWidth="8.85546875" defaultRowHeight="15"/>
  <cols>
    <col min="1" max="1" width="11.28515625" bestFit="1" customWidth="1"/>
    <col min="2" max="2" width="9.7109375" customWidth="1"/>
    <col min="3" max="3" width="27.42578125" bestFit="1" customWidth="1"/>
    <col min="4" max="4" width="16.140625" bestFit="1" customWidth="1"/>
    <col min="5" max="5" width="34.42578125" customWidth="1"/>
    <col min="6" max="6" width="8.85546875" bestFit="1" customWidth="1"/>
  </cols>
  <sheetData>
    <row r="1" spans="1:6">
      <c r="A1" s="1" t="s">
        <v>11</v>
      </c>
      <c r="B1" s="1" t="s">
        <v>9</v>
      </c>
      <c r="C1" s="1" t="s">
        <v>12</v>
      </c>
      <c r="D1" s="1" t="s">
        <v>138</v>
      </c>
      <c r="E1" s="1" t="s">
        <v>139</v>
      </c>
      <c r="F1" s="1" t="s">
        <v>140</v>
      </c>
    </row>
    <row r="2" spans="1:6">
      <c r="A2" t="s">
        <v>1485</v>
      </c>
      <c r="B2" t="s">
        <v>1467</v>
      </c>
      <c r="C2" t="s">
        <v>492</v>
      </c>
      <c r="D2" t="s">
        <v>164</v>
      </c>
      <c r="E2" t="s">
        <v>526</v>
      </c>
      <c r="F2" t="s">
        <v>145</v>
      </c>
    </row>
    <row r="3" spans="1:6">
      <c r="A3" t="s">
        <v>1485</v>
      </c>
      <c r="B3" t="s">
        <v>1467</v>
      </c>
      <c r="C3" t="s">
        <v>527</v>
      </c>
      <c r="D3" t="s">
        <v>144</v>
      </c>
      <c r="E3" t="s">
        <v>526</v>
      </c>
      <c r="F3" t="s">
        <v>145</v>
      </c>
    </row>
    <row r="4" spans="1:6">
      <c r="A4" t="s">
        <v>1485</v>
      </c>
      <c r="B4" t="s">
        <v>1467</v>
      </c>
      <c r="C4" t="s">
        <v>528</v>
      </c>
      <c r="D4" t="s">
        <v>144</v>
      </c>
      <c r="E4" t="s">
        <v>526</v>
      </c>
      <c r="F4" t="s">
        <v>145</v>
      </c>
    </row>
    <row r="5" spans="1:6">
      <c r="A5" t="s">
        <v>1485</v>
      </c>
      <c r="B5" t="s">
        <v>1467</v>
      </c>
      <c r="C5" t="s">
        <v>529</v>
      </c>
      <c r="D5" t="s">
        <v>144</v>
      </c>
      <c r="E5" t="s">
        <v>526</v>
      </c>
      <c r="F5" t="s">
        <v>145</v>
      </c>
    </row>
    <row r="6" spans="1:6">
      <c r="A6" t="s">
        <v>1485</v>
      </c>
      <c r="B6" t="s">
        <v>1467</v>
      </c>
      <c r="C6" t="s">
        <v>530</v>
      </c>
      <c r="D6" t="s">
        <v>144</v>
      </c>
      <c r="E6" t="s">
        <v>526</v>
      </c>
      <c r="F6" t="s">
        <v>145</v>
      </c>
    </row>
    <row r="7" spans="1:6">
      <c r="A7" t="s">
        <v>1485</v>
      </c>
      <c r="B7" t="s">
        <v>384</v>
      </c>
      <c r="C7" t="s">
        <v>523</v>
      </c>
      <c r="D7" t="s">
        <v>164</v>
      </c>
      <c r="F7" t="s">
        <v>145</v>
      </c>
    </row>
    <row r="8" spans="1:6">
      <c r="A8" t="s">
        <v>1485</v>
      </c>
      <c r="B8" t="s">
        <v>384</v>
      </c>
      <c r="C8" t="s">
        <v>531</v>
      </c>
      <c r="D8" t="s">
        <v>144</v>
      </c>
      <c r="F8" t="s">
        <v>145</v>
      </c>
    </row>
    <row r="9" spans="1:6">
      <c r="A9" t="s">
        <v>1485</v>
      </c>
      <c r="B9" t="s">
        <v>384</v>
      </c>
      <c r="C9" t="s">
        <v>532</v>
      </c>
      <c r="D9" t="s">
        <v>144</v>
      </c>
      <c r="F9" t="s">
        <v>145</v>
      </c>
    </row>
    <row r="10" spans="1:6">
      <c r="A10" t="s">
        <v>1485</v>
      </c>
      <c r="B10" t="s">
        <v>384</v>
      </c>
      <c r="C10" t="s">
        <v>533</v>
      </c>
      <c r="D10" t="s">
        <v>144</v>
      </c>
      <c r="F10" t="s">
        <v>145</v>
      </c>
    </row>
    <row r="11" spans="1:6">
      <c r="A11" t="s">
        <v>1485</v>
      </c>
      <c r="B11" t="s">
        <v>384</v>
      </c>
      <c r="C11" t="s">
        <v>534</v>
      </c>
      <c r="D11" t="s">
        <v>144</v>
      </c>
      <c r="F11" t="s">
        <v>145</v>
      </c>
    </row>
    <row r="12" spans="1:6">
      <c r="A12" t="s">
        <v>1485</v>
      </c>
      <c r="B12" t="s">
        <v>535</v>
      </c>
      <c r="C12" t="s">
        <v>511</v>
      </c>
      <c r="D12" t="s">
        <v>164</v>
      </c>
      <c r="E12" t="s">
        <v>536</v>
      </c>
      <c r="F12" t="s">
        <v>145</v>
      </c>
    </row>
    <row r="13" spans="1:6">
      <c r="A13" t="s">
        <v>1485</v>
      </c>
      <c r="B13" t="s">
        <v>535</v>
      </c>
      <c r="C13" t="s">
        <v>537</v>
      </c>
      <c r="D13" t="s">
        <v>144</v>
      </c>
      <c r="E13" t="s">
        <v>536</v>
      </c>
      <c r="F13" t="s">
        <v>145</v>
      </c>
    </row>
    <row r="14" spans="1:6">
      <c r="A14" t="s">
        <v>1485</v>
      </c>
      <c r="B14" t="s">
        <v>535</v>
      </c>
      <c r="C14" t="s">
        <v>538</v>
      </c>
      <c r="D14" t="s">
        <v>144</v>
      </c>
      <c r="E14" t="s">
        <v>536</v>
      </c>
      <c r="F14" t="s">
        <v>145</v>
      </c>
    </row>
    <row r="15" spans="1:6">
      <c r="A15" t="s">
        <v>1485</v>
      </c>
      <c r="B15" t="s">
        <v>535</v>
      </c>
      <c r="C15" t="s">
        <v>539</v>
      </c>
      <c r="D15" t="s">
        <v>144</v>
      </c>
      <c r="E15" t="s">
        <v>536</v>
      </c>
      <c r="F15" t="s">
        <v>145</v>
      </c>
    </row>
    <row r="16" spans="1:6">
      <c r="A16" t="s">
        <v>1485</v>
      </c>
      <c r="B16" t="s">
        <v>535</v>
      </c>
      <c r="C16" t="s">
        <v>540</v>
      </c>
      <c r="D16" t="s">
        <v>144</v>
      </c>
      <c r="E16" t="s">
        <v>536</v>
      </c>
      <c r="F16" t="s">
        <v>145</v>
      </c>
    </row>
    <row r="17" spans="1:6">
      <c r="A17" t="s">
        <v>1485</v>
      </c>
      <c r="B17" t="s">
        <v>535</v>
      </c>
      <c r="C17" t="s">
        <v>541</v>
      </c>
      <c r="D17" t="s">
        <v>144</v>
      </c>
      <c r="E17" t="s">
        <v>536</v>
      </c>
      <c r="F17" t="s">
        <v>145</v>
      </c>
    </row>
    <row r="18" spans="1:6">
      <c r="A18" t="s">
        <v>1485</v>
      </c>
      <c r="B18" t="s">
        <v>542</v>
      </c>
      <c r="C18" t="s">
        <v>510</v>
      </c>
      <c r="D18" t="s">
        <v>164</v>
      </c>
      <c r="E18" t="s">
        <v>536</v>
      </c>
      <c r="F18" t="s">
        <v>145</v>
      </c>
    </row>
    <row r="19" spans="1:6">
      <c r="A19" t="s">
        <v>1485</v>
      </c>
      <c r="B19" t="s">
        <v>542</v>
      </c>
      <c r="C19" t="s">
        <v>543</v>
      </c>
      <c r="D19" t="s">
        <v>144</v>
      </c>
      <c r="E19" t="s">
        <v>536</v>
      </c>
      <c r="F19" t="s">
        <v>145</v>
      </c>
    </row>
    <row r="20" spans="1:6">
      <c r="A20" t="s">
        <v>1485</v>
      </c>
      <c r="B20" t="s">
        <v>542</v>
      </c>
      <c r="C20" t="s">
        <v>544</v>
      </c>
      <c r="D20" t="s">
        <v>144</v>
      </c>
      <c r="E20" t="s">
        <v>536</v>
      </c>
      <c r="F20" t="s">
        <v>145</v>
      </c>
    </row>
    <row r="21" spans="1:6">
      <c r="A21" t="s">
        <v>1485</v>
      </c>
      <c r="B21" t="s">
        <v>542</v>
      </c>
      <c r="C21" t="s">
        <v>545</v>
      </c>
      <c r="D21" t="s">
        <v>144</v>
      </c>
      <c r="E21" t="s">
        <v>536</v>
      </c>
      <c r="F21" t="s">
        <v>145</v>
      </c>
    </row>
    <row r="22" spans="1:6">
      <c r="A22" t="s">
        <v>1485</v>
      </c>
      <c r="B22" t="s">
        <v>542</v>
      </c>
      <c r="C22" t="s">
        <v>546</v>
      </c>
      <c r="D22" t="s">
        <v>144</v>
      </c>
      <c r="E22" t="s">
        <v>536</v>
      </c>
      <c r="F22" t="s">
        <v>145</v>
      </c>
    </row>
    <row r="23" spans="1:6">
      <c r="A23" t="s">
        <v>1485</v>
      </c>
      <c r="B23" t="s">
        <v>547</v>
      </c>
      <c r="C23" t="s">
        <v>505</v>
      </c>
      <c r="D23" t="s">
        <v>164</v>
      </c>
      <c r="E23" t="s">
        <v>548</v>
      </c>
      <c r="F23" t="s">
        <v>145</v>
      </c>
    </row>
    <row r="24" spans="1:6">
      <c r="A24" t="s">
        <v>1485</v>
      </c>
      <c r="B24" t="s">
        <v>547</v>
      </c>
      <c r="C24" t="s">
        <v>549</v>
      </c>
      <c r="D24" t="s">
        <v>144</v>
      </c>
      <c r="E24" t="s">
        <v>548</v>
      </c>
      <c r="F24" t="s">
        <v>145</v>
      </c>
    </row>
    <row r="25" spans="1:6">
      <c r="A25" t="s">
        <v>1485</v>
      </c>
      <c r="B25" t="s">
        <v>547</v>
      </c>
      <c r="C25" t="s">
        <v>550</v>
      </c>
      <c r="D25" t="s">
        <v>144</v>
      </c>
      <c r="E25" t="s">
        <v>548</v>
      </c>
      <c r="F25" t="s">
        <v>145</v>
      </c>
    </row>
    <row r="26" spans="1:6">
      <c r="A26" t="s">
        <v>1485</v>
      </c>
      <c r="B26" t="s">
        <v>547</v>
      </c>
      <c r="C26" t="s">
        <v>551</v>
      </c>
      <c r="D26" t="s">
        <v>144</v>
      </c>
      <c r="E26" t="s">
        <v>548</v>
      </c>
      <c r="F26" t="s">
        <v>145</v>
      </c>
    </row>
    <row r="27" spans="1:6">
      <c r="A27" t="s">
        <v>1485</v>
      </c>
      <c r="B27" t="s">
        <v>547</v>
      </c>
      <c r="C27" t="s">
        <v>552</v>
      </c>
      <c r="D27" t="s">
        <v>144</v>
      </c>
      <c r="E27" t="s">
        <v>548</v>
      </c>
      <c r="F27" t="s">
        <v>145</v>
      </c>
    </row>
    <row r="28" spans="1:6">
      <c r="A28" t="s">
        <v>1485</v>
      </c>
      <c r="B28" t="s">
        <v>1124</v>
      </c>
      <c r="C28" t="s">
        <v>24</v>
      </c>
      <c r="D28" t="s">
        <v>164</v>
      </c>
      <c r="E28" t="s">
        <v>553</v>
      </c>
      <c r="F28" t="s">
        <v>145</v>
      </c>
    </row>
    <row r="29" spans="1:6">
      <c r="A29" t="s">
        <v>1485</v>
      </c>
      <c r="B29" t="s">
        <v>1124</v>
      </c>
      <c r="C29" t="s">
        <v>25</v>
      </c>
      <c r="D29" t="s">
        <v>144</v>
      </c>
      <c r="E29" t="s">
        <v>553</v>
      </c>
      <c r="F29" t="s">
        <v>145</v>
      </c>
    </row>
    <row r="30" spans="1:6">
      <c r="A30" t="s">
        <v>1485</v>
      </c>
      <c r="B30" t="s">
        <v>1124</v>
      </c>
      <c r="C30" t="s">
        <v>26</v>
      </c>
      <c r="D30" t="s">
        <v>144</v>
      </c>
      <c r="E30" t="s">
        <v>553</v>
      </c>
      <c r="F30" t="s">
        <v>145</v>
      </c>
    </row>
    <row r="31" spans="1:6">
      <c r="A31" t="s">
        <v>1485</v>
      </c>
      <c r="B31" t="s">
        <v>1124</v>
      </c>
      <c r="C31" t="s">
        <v>23</v>
      </c>
      <c r="D31" t="s">
        <v>144</v>
      </c>
      <c r="E31" t="s">
        <v>553</v>
      </c>
      <c r="F31" t="s">
        <v>145</v>
      </c>
    </row>
    <row r="32" spans="1:6">
      <c r="A32" t="s">
        <v>1485</v>
      </c>
      <c r="B32" t="s">
        <v>1124</v>
      </c>
      <c r="C32" t="s">
        <v>22</v>
      </c>
      <c r="D32" t="s">
        <v>144</v>
      </c>
      <c r="E32" t="s">
        <v>553</v>
      </c>
      <c r="F32" t="s">
        <v>145</v>
      </c>
    </row>
    <row r="33" spans="1:6">
      <c r="A33" t="s">
        <v>1485</v>
      </c>
      <c r="B33" t="s">
        <v>337</v>
      </c>
      <c r="C33" t="s">
        <v>520</v>
      </c>
      <c r="D33" t="s">
        <v>164</v>
      </c>
      <c r="E33" t="s">
        <v>554</v>
      </c>
      <c r="F33" t="s">
        <v>337</v>
      </c>
    </row>
    <row r="34" spans="1:6">
      <c r="A34" t="s">
        <v>1485</v>
      </c>
      <c r="B34" t="s">
        <v>337</v>
      </c>
      <c r="C34" t="s">
        <v>555</v>
      </c>
      <c r="D34" t="s">
        <v>144</v>
      </c>
      <c r="E34" t="s">
        <v>554</v>
      </c>
      <c r="F34" t="s">
        <v>337</v>
      </c>
    </row>
    <row r="35" spans="1:6">
      <c r="A35" t="s">
        <v>1485</v>
      </c>
      <c r="B35" t="s">
        <v>337</v>
      </c>
      <c r="C35" t="s">
        <v>556</v>
      </c>
      <c r="D35" t="s">
        <v>144</v>
      </c>
      <c r="E35" t="s">
        <v>554</v>
      </c>
      <c r="F35" t="s">
        <v>337</v>
      </c>
    </row>
    <row r="36" spans="1:6">
      <c r="A36" t="s">
        <v>1485</v>
      </c>
      <c r="B36" t="s">
        <v>337</v>
      </c>
      <c r="C36" t="s">
        <v>557</v>
      </c>
      <c r="D36" t="s">
        <v>144</v>
      </c>
      <c r="E36" t="s">
        <v>554</v>
      </c>
      <c r="F36" t="s">
        <v>337</v>
      </c>
    </row>
    <row r="37" spans="1:6">
      <c r="A37" t="s">
        <v>1485</v>
      </c>
      <c r="B37" t="s">
        <v>337</v>
      </c>
      <c r="C37" t="s">
        <v>558</v>
      </c>
      <c r="D37" t="s">
        <v>144</v>
      </c>
      <c r="E37" t="s">
        <v>554</v>
      </c>
      <c r="F37" t="s">
        <v>337</v>
      </c>
    </row>
    <row r="38" spans="1:6">
      <c r="A38" t="s">
        <v>1485</v>
      </c>
      <c r="B38" t="s">
        <v>158</v>
      </c>
      <c r="C38" t="s">
        <v>69</v>
      </c>
      <c r="D38" t="s">
        <v>217</v>
      </c>
      <c r="F38" t="s">
        <v>145</v>
      </c>
    </row>
    <row r="39" spans="1:6">
      <c r="A39" t="s">
        <v>1485</v>
      </c>
      <c r="B39" t="s">
        <v>158</v>
      </c>
      <c r="C39" t="s">
        <v>375</v>
      </c>
      <c r="D39" t="s">
        <v>217</v>
      </c>
      <c r="F39" t="s">
        <v>145</v>
      </c>
    </row>
    <row r="40" spans="1:6">
      <c r="A40" t="s">
        <v>1485</v>
      </c>
      <c r="B40" t="s">
        <v>158</v>
      </c>
      <c r="C40" t="s">
        <v>237</v>
      </c>
      <c r="D40" t="s">
        <v>409</v>
      </c>
      <c r="F40" t="s">
        <v>145</v>
      </c>
    </row>
    <row r="41" spans="1:6">
      <c r="A41" t="s">
        <v>1485</v>
      </c>
      <c r="B41" t="s">
        <v>158</v>
      </c>
      <c r="C41" t="s">
        <v>408</v>
      </c>
      <c r="D41" t="s">
        <v>409</v>
      </c>
      <c r="F41" t="s">
        <v>145</v>
      </c>
    </row>
    <row r="42" spans="1:6">
      <c r="A42" t="s">
        <v>1485</v>
      </c>
      <c r="B42" t="s">
        <v>158</v>
      </c>
      <c r="C42" t="s">
        <v>350</v>
      </c>
      <c r="D42" t="s">
        <v>162</v>
      </c>
      <c r="F42" t="s">
        <v>145</v>
      </c>
    </row>
    <row r="43" spans="1:6">
      <c r="A43" t="s">
        <v>1485</v>
      </c>
      <c r="B43" t="s">
        <v>158</v>
      </c>
      <c r="C43" t="s">
        <v>559</v>
      </c>
      <c r="D43" t="s">
        <v>1486</v>
      </c>
      <c r="F43" t="s">
        <v>145</v>
      </c>
    </row>
    <row r="44" spans="1:6">
      <c r="A44" t="s">
        <v>1485</v>
      </c>
      <c r="B44" t="s">
        <v>158</v>
      </c>
      <c r="C44" t="s">
        <v>257</v>
      </c>
      <c r="D44" t="s">
        <v>1487</v>
      </c>
      <c r="F44" t="s">
        <v>145</v>
      </c>
    </row>
    <row r="45" spans="1:6">
      <c r="A45" t="s">
        <v>1488</v>
      </c>
      <c r="B45" t="s">
        <v>1118</v>
      </c>
      <c r="C45" t="s">
        <v>538</v>
      </c>
      <c r="D45" t="s">
        <v>164</v>
      </c>
      <c r="E45" t="s">
        <v>562</v>
      </c>
      <c r="F45" t="s">
        <v>145</v>
      </c>
    </row>
    <row r="46" spans="1:6">
      <c r="A46" t="s">
        <v>1488</v>
      </c>
      <c r="B46" t="s">
        <v>1118</v>
      </c>
      <c r="C46" t="s">
        <v>563</v>
      </c>
      <c r="D46" t="s">
        <v>144</v>
      </c>
      <c r="E46" t="s">
        <v>562</v>
      </c>
      <c r="F46" t="s">
        <v>145</v>
      </c>
    </row>
    <row r="47" spans="1:6">
      <c r="A47" t="s">
        <v>1488</v>
      </c>
      <c r="B47" t="s">
        <v>1118</v>
      </c>
      <c r="C47" t="s">
        <v>564</v>
      </c>
      <c r="D47" t="s">
        <v>144</v>
      </c>
      <c r="E47" t="s">
        <v>562</v>
      </c>
      <c r="F47" t="s">
        <v>145</v>
      </c>
    </row>
    <row r="48" spans="1:6">
      <c r="A48" t="s">
        <v>1488</v>
      </c>
      <c r="B48" t="s">
        <v>1118</v>
      </c>
      <c r="C48" t="s">
        <v>565</v>
      </c>
      <c r="D48" t="s">
        <v>144</v>
      </c>
      <c r="E48" t="s">
        <v>562</v>
      </c>
      <c r="F48" t="s">
        <v>145</v>
      </c>
    </row>
    <row r="49" spans="1:6">
      <c r="A49" t="s">
        <v>1488</v>
      </c>
      <c r="B49" t="s">
        <v>1118</v>
      </c>
      <c r="C49" t="s">
        <v>566</v>
      </c>
      <c r="D49" t="s">
        <v>144</v>
      </c>
      <c r="E49" t="s">
        <v>562</v>
      </c>
      <c r="F49" t="s">
        <v>145</v>
      </c>
    </row>
    <row r="50" spans="1:6">
      <c r="A50" t="s">
        <v>1488</v>
      </c>
      <c r="B50" t="s">
        <v>384</v>
      </c>
      <c r="C50" t="s">
        <v>523</v>
      </c>
      <c r="D50" t="s">
        <v>164</v>
      </c>
      <c r="F50" t="s">
        <v>145</v>
      </c>
    </row>
    <row r="51" spans="1:6">
      <c r="A51" t="s">
        <v>1488</v>
      </c>
      <c r="B51" t="s">
        <v>384</v>
      </c>
      <c r="C51" t="s">
        <v>567</v>
      </c>
      <c r="D51" t="s">
        <v>144</v>
      </c>
      <c r="F51" t="s">
        <v>145</v>
      </c>
    </row>
    <row r="52" spans="1:6">
      <c r="A52" t="s">
        <v>1488</v>
      </c>
      <c r="B52" t="s">
        <v>384</v>
      </c>
      <c r="C52" t="s">
        <v>568</v>
      </c>
      <c r="D52" t="s">
        <v>144</v>
      </c>
      <c r="F52" t="s">
        <v>145</v>
      </c>
    </row>
    <row r="53" spans="1:6">
      <c r="A53" t="s">
        <v>1488</v>
      </c>
      <c r="B53" t="s">
        <v>384</v>
      </c>
      <c r="C53" t="s">
        <v>569</v>
      </c>
      <c r="D53" t="s">
        <v>144</v>
      </c>
      <c r="F53" t="s">
        <v>145</v>
      </c>
    </row>
    <row r="54" spans="1:6">
      <c r="A54" t="s">
        <v>1488</v>
      </c>
      <c r="B54" t="s">
        <v>1467</v>
      </c>
      <c r="C54" t="s">
        <v>549</v>
      </c>
      <c r="D54" t="s">
        <v>164</v>
      </c>
      <c r="E54" t="s">
        <v>570</v>
      </c>
      <c r="F54" t="s">
        <v>145</v>
      </c>
    </row>
    <row r="55" spans="1:6">
      <c r="A55" t="s">
        <v>1488</v>
      </c>
      <c r="B55" t="s">
        <v>1467</v>
      </c>
      <c r="C55" t="s">
        <v>571</v>
      </c>
      <c r="D55" t="s">
        <v>144</v>
      </c>
      <c r="E55" t="s">
        <v>570</v>
      </c>
      <c r="F55" t="s">
        <v>145</v>
      </c>
    </row>
    <row r="56" spans="1:6">
      <c r="A56" t="s">
        <v>1488</v>
      </c>
      <c r="B56" t="s">
        <v>1467</v>
      </c>
      <c r="C56" t="s">
        <v>572</v>
      </c>
      <c r="D56" t="s">
        <v>144</v>
      </c>
      <c r="E56" t="s">
        <v>570</v>
      </c>
      <c r="F56" t="s">
        <v>145</v>
      </c>
    </row>
    <row r="57" spans="1:6">
      <c r="A57" t="s">
        <v>1488</v>
      </c>
      <c r="B57" t="s">
        <v>1467</v>
      </c>
      <c r="C57" t="s">
        <v>573</v>
      </c>
      <c r="D57" t="s">
        <v>144</v>
      </c>
      <c r="E57" t="s">
        <v>570</v>
      </c>
      <c r="F57" t="s">
        <v>145</v>
      </c>
    </row>
    <row r="58" spans="1:6">
      <c r="A58" t="s">
        <v>1488</v>
      </c>
      <c r="B58" t="s">
        <v>542</v>
      </c>
      <c r="C58" t="s">
        <v>550</v>
      </c>
      <c r="D58" t="s">
        <v>164</v>
      </c>
      <c r="E58" t="s">
        <v>574</v>
      </c>
      <c r="F58" t="s">
        <v>145</v>
      </c>
    </row>
    <row r="59" spans="1:6">
      <c r="A59" t="s">
        <v>1488</v>
      </c>
      <c r="B59" t="s">
        <v>542</v>
      </c>
      <c r="C59" t="s">
        <v>575</v>
      </c>
      <c r="D59" t="s">
        <v>144</v>
      </c>
      <c r="E59" t="s">
        <v>574</v>
      </c>
      <c r="F59" t="s">
        <v>145</v>
      </c>
    </row>
    <row r="60" spans="1:6">
      <c r="A60" t="s">
        <v>1488</v>
      </c>
      <c r="B60" t="s">
        <v>542</v>
      </c>
      <c r="C60" t="s">
        <v>576</v>
      </c>
      <c r="D60" t="s">
        <v>144</v>
      </c>
      <c r="E60" t="s">
        <v>574</v>
      </c>
      <c r="F60" t="s">
        <v>145</v>
      </c>
    </row>
    <row r="61" spans="1:6">
      <c r="A61" t="s">
        <v>1488</v>
      </c>
      <c r="B61" t="s">
        <v>542</v>
      </c>
      <c r="C61" t="s">
        <v>577</v>
      </c>
      <c r="D61" t="s">
        <v>144</v>
      </c>
      <c r="E61" t="s">
        <v>574</v>
      </c>
      <c r="F61" t="s">
        <v>145</v>
      </c>
    </row>
    <row r="62" spans="1:6">
      <c r="A62" t="s">
        <v>1488</v>
      </c>
      <c r="B62" t="s">
        <v>542</v>
      </c>
      <c r="C62" t="s">
        <v>578</v>
      </c>
      <c r="D62" t="s">
        <v>144</v>
      </c>
      <c r="E62" t="s">
        <v>574</v>
      </c>
      <c r="F62" t="s">
        <v>145</v>
      </c>
    </row>
    <row r="63" spans="1:6">
      <c r="A63" t="s">
        <v>1488</v>
      </c>
      <c r="B63" t="s">
        <v>542</v>
      </c>
      <c r="C63" t="s">
        <v>507</v>
      </c>
      <c r="D63" t="s">
        <v>144</v>
      </c>
      <c r="E63" t="s">
        <v>574</v>
      </c>
      <c r="F63" t="s">
        <v>145</v>
      </c>
    </row>
    <row r="64" spans="1:6">
      <c r="A64" t="s">
        <v>1488</v>
      </c>
      <c r="B64" t="s">
        <v>542</v>
      </c>
      <c r="C64" t="s">
        <v>579</v>
      </c>
      <c r="D64" t="s">
        <v>144</v>
      </c>
      <c r="E64" t="s">
        <v>574</v>
      </c>
      <c r="F64" t="s">
        <v>145</v>
      </c>
    </row>
    <row r="65" spans="1:6">
      <c r="A65" t="s">
        <v>1488</v>
      </c>
      <c r="B65" t="s">
        <v>542</v>
      </c>
      <c r="C65" t="s">
        <v>580</v>
      </c>
      <c r="D65" t="s">
        <v>144</v>
      </c>
      <c r="E65" t="s">
        <v>574</v>
      </c>
      <c r="F65" t="s">
        <v>145</v>
      </c>
    </row>
    <row r="66" spans="1:6">
      <c r="A66" t="s">
        <v>1488</v>
      </c>
      <c r="B66" t="s">
        <v>542</v>
      </c>
      <c r="C66" t="s">
        <v>581</v>
      </c>
      <c r="D66" t="s">
        <v>144</v>
      </c>
      <c r="E66" t="s">
        <v>574</v>
      </c>
      <c r="F66" t="s">
        <v>145</v>
      </c>
    </row>
    <row r="67" spans="1:6">
      <c r="A67" t="s">
        <v>1488</v>
      </c>
      <c r="B67" t="s">
        <v>542</v>
      </c>
      <c r="C67" t="s">
        <v>582</v>
      </c>
      <c r="D67" t="s">
        <v>144</v>
      </c>
      <c r="E67" t="s">
        <v>574</v>
      </c>
      <c r="F67" t="s">
        <v>145</v>
      </c>
    </row>
    <row r="68" spans="1:6">
      <c r="A68" t="s">
        <v>1488</v>
      </c>
      <c r="B68" t="s">
        <v>1124</v>
      </c>
      <c r="C68" t="s">
        <v>19</v>
      </c>
      <c r="D68" t="s">
        <v>164</v>
      </c>
      <c r="E68" t="s">
        <v>583</v>
      </c>
      <c r="F68" t="s">
        <v>145</v>
      </c>
    </row>
    <row r="69" spans="1:6">
      <c r="A69" t="s">
        <v>1488</v>
      </c>
      <c r="B69" t="s">
        <v>1124</v>
      </c>
      <c r="C69" t="s">
        <v>17</v>
      </c>
      <c r="D69" t="s">
        <v>144</v>
      </c>
      <c r="E69" t="s">
        <v>583</v>
      </c>
      <c r="F69" t="s">
        <v>145</v>
      </c>
    </row>
    <row r="70" spans="1:6">
      <c r="A70" t="s">
        <v>1488</v>
      </c>
      <c r="B70" t="s">
        <v>1124</v>
      </c>
      <c r="C70" t="s">
        <v>14</v>
      </c>
      <c r="D70" t="s">
        <v>144</v>
      </c>
      <c r="E70" t="s">
        <v>583</v>
      </c>
      <c r="F70" t="s">
        <v>145</v>
      </c>
    </row>
    <row r="71" spans="1:6">
      <c r="A71" t="s">
        <v>1488</v>
      </c>
      <c r="B71" t="s">
        <v>1124</v>
      </c>
      <c r="C71" t="s">
        <v>15</v>
      </c>
      <c r="D71" t="s">
        <v>144</v>
      </c>
      <c r="E71" t="s">
        <v>583</v>
      </c>
      <c r="F71" t="s">
        <v>145</v>
      </c>
    </row>
    <row r="72" spans="1:6">
      <c r="A72" t="s">
        <v>1488</v>
      </c>
      <c r="B72" t="s">
        <v>1124</v>
      </c>
      <c r="C72" t="s">
        <v>16</v>
      </c>
      <c r="D72" t="s">
        <v>144</v>
      </c>
      <c r="E72" t="s">
        <v>583</v>
      </c>
      <c r="F72" t="s">
        <v>145</v>
      </c>
    </row>
    <row r="73" spans="1:6">
      <c r="A73" t="s">
        <v>1488</v>
      </c>
      <c r="B73" t="s">
        <v>1124</v>
      </c>
      <c r="C73" t="s">
        <v>18</v>
      </c>
      <c r="D73" t="s">
        <v>144</v>
      </c>
      <c r="E73" t="s">
        <v>583</v>
      </c>
      <c r="F73" t="s">
        <v>145</v>
      </c>
    </row>
    <row r="74" spans="1:6">
      <c r="A74" t="s">
        <v>1488</v>
      </c>
      <c r="B74" t="s">
        <v>337</v>
      </c>
      <c r="C74" t="s">
        <v>558</v>
      </c>
      <c r="D74" t="s">
        <v>164</v>
      </c>
      <c r="E74" t="s">
        <v>584</v>
      </c>
      <c r="F74" t="s">
        <v>337</v>
      </c>
    </row>
    <row r="75" spans="1:6">
      <c r="A75" t="s">
        <v>1488</v>
      </c>
      <c r="B75" t="s">
        <v>337</v>
      </c>
      <c r="C75" t="s">
        <v>585</v>
      </c>
      <c r="D75" t="s">
        <v>144</v>
      </c>
      <c r="E75" t="s">
        <v>584</v>
      </c>
      <c r="F75" t="s">
        <v>337</v>
      </c>
    </row>
    <row r="76" spans="1:6">
      <c r="A76" t="s">
        <v>1488</v>
      </c>
      <c r="B76" t="s">
        <v>337</v>
      </c>
      <c r="C76" t="s">
        <v>586</v>
      </c>
      <c r="D76" t="s">
        <v>144</v>
      </c>
      <c r="E76" t="s">
        <v>584</v>
      </c>
      <c r="F76" t="s">
        <v>337</v>
      </c>
    </row>
    <row r="77" spans="1:6">
      <c r="A77" t="s">
        <v>1488</v>
      </c>
      <c r="B77" t="s">
        <v>337</v>
      </c>
      <c r="C77" t="s">
        <v>587</v>
      </c>
      <c r="D77" t="s">
        <v>144</v>
      </c>
      <c r="E77" t="s">
        <v>584</v>
      </c>
      <c r="F77" t="s">
        <v>337</v>
      </c>
    </row>
    <row r="78" spans="1:6">
      <c r="A78" t="s">
        <v>1488</v>
      </c>
      <c r="B78" t="s">
        <v>337</v>
      </c>
      <c r="C78" t="s">
        <v>588</v>
      </c>
      <c r="D78" t="s">
        <v>144</v>
      </c>
      <c r="E78" t="s">
        <v>584</v>
      </c>
      <c r="F78" t="s">
        <v>337</v>
      </c>
    </row>
    <row r="79" spans="1:6">
      <c r="A79" t="s">
        <v>1488</v>
      </c>
      <c r="B79" t="s">
        <v>158</v>
      </c>
      <c r="C79" t="s">
        <v>510</v>
      </c>
      <c r="D79" t="s">
        <v>217</v>
      </c>
      <c r="F79" t="s">
        <v>145</v>
      </c>
    </row>
    <row r="80" spans="1:6">
      <c r="A80" t="s">
        <v>1488</v>
      </c>
      <c r="B80" t="s">
        <v>158</v>
      </c>
      <c r="C80" t="s">
        <v>69</v>
      </c>
      <c r="D80" t="s">
        <v>217</v>
      </c>
      <c r="F80" t="s">
        <v>145</v>
      </c>
    </row>
    <row r="81" spans="1:6">
      <c r="A81" t="s">
        <v>1488</v>
      </c>
      <c r="B81" t="s">
        <v>158</v>
      </c>
      <c r="C81" t="s">
        <v>558</v>
      </c>
      <c r="D81" t="s">
        <v>217</v>
      </c>
      <c r="F81" t="s">
        <v>337</v>
      </c>
    </row>
    <row r="82" spans="1:6">
      <c r="A82" t="s">
        <v>1488</v>
      </c>
      <c r="B82" t="s">
        <v>158</v>
      </c>
      <c r="C82" t="s">
        <v>350</v>
      </c>
      <c r="D82" t="s">
        <v>409</v>
      </c>
      <c r="F82" t="s">
        <v>145</v>
      </c>
    </row>
    <row r="83" spans="1:6">
      <c r="A83" t="s">
        <v>1488</v>
      </c>
      <c r="B83" t="s">
        <v>158</v>
      </c>
      <c r="C83" t="s">
        <v>408</v>
      </c>
      <c r="D83" t="s">
        <v>409</v>
      </c>
      <c r="F83" t="s">
        <v>145</v>
      </c>
    </row>
    <row r="84" spans="1:6">
      <c r="A84" t="s">
        <v>1488</v>
      </c>
      <c r="B84" t="s">
        <v>158</v>
      </c>
      <c r="C84" t="s">
        <v>589</v>
      </c>
      <c r="D84" t="s">
        <v>1486</v>
      </c>
      <c r="F84" t="s">
        <v>337</v>
      </c>
    </row>
    <row r="85" spans="1:6">
      <c r="A85" t="s">
        <v>1488</v>
      </c>
      <c r="B85" t="s">
        <v>158</v>
      </c>
      <c r="C85" t="s">
        <v>257</v>
      </c>
      <c r="D85" t="s">
        <v>1487</v>
      </c>
      <c r="F85" t="s">
        <v>145</v>
      </c>
    </row>
    <row r="86" spans="1:6">
      <c r="A86" t="s">
        <v>1489</v>
      </c>
      <c r="B86" t="s">
        <v>1467</v>
      </c>
      <c r="C86" t="s">
        <v>552</v>
      </c>
      <c r="D86" t="s">
        <v>164</v>
      </c>
      <c r="E86" t="s">
        <v>590</v>
      </c>
      <c r="F86" t="s">
        <v>337</v>
      </c>
    </row>
    <row r="87" spans="1:6">
      <c r="A87" t="s">
        <v>1489</v>
      </c>
      <c r="B87" t="s">
        <v>1467</v>
      </c>
      <c r="C87" t="s">
        <v>591</v>
      </c>
      <c r="D87" t="s">
        <v>144</v>
      </c>
      <c r="E87" t="s">
        <v>590</v>
      </c>
      <c r="F87" t="s">
        <v>337</v>
      </c>
    </row>
    <row r="88" spans="1:6">
      <c r="A88" t="s">
        <v>1489</v>
      </c>
      <c r="B88" t="s">
        <v>1467</v>
      </c>
      <c r="C88" t="s">
        <v>592</v>
      </c>
      <c r="D88" t="s">
        <v>144</v>
      </c>
      <c r="E88" t="s">
        <v>590</v>
      </c>
      <c r="F88" t="s">
        <v>337</v>
      </c>
    </row>
    <row r="89" spans="1:6">
      <c r="A89" t="s">
        <v>1489</v>
      </c>
      <c r="B89" t="s">
        <v>1467</v>
      </c>
      <c r="C89" t="s">
        <v>593</v>
      </c>
      <c r="D89" t="s">
        <v>144</v>
      </c>
      <c r="E89" t="s">
        <v>590</v>
      </c>
      <c r="F89" t="s">
        <v>337</v>
      </c>
    </row>
    <row r="90" spans="1:6">
      <c r="A90" t="s">
        <v>1489</v>
      </c>
      <c r="B90" t="s">
        <v>1467</v>
      </c>
      <c r="C90" t="s">
        <v>594</v>
      </c>
      <c r="D90" t="s">
        <v>144</v>
      </c>
      <c r="E90" t="s">
        <v>590</v>
      </c>
      <c r="F90" t="s">
        <v>337</v>
      </c>
    </row>
    <row r="91" spans="1:6">
      <c r="A91" t="s">
        <v>1489</v>
      </c>
      <c r="B91" t="s">
        <v>384</v>
      </c>
      <c r="C91" t="s">
        <v>521</v>
      </c>
      <c r="D91" t="s">
        <v>164</v>
      </c>
      <c r="F91" t="s">
        <v>145</v>
      </c>
    </row>
    <row r="92" spans="1:6">
      <c r="A92" t="s">
        <v>1489</v>
      </c>
      <c r="B92" t="s">
        <v>384</v>
      </c>
      <c r="C92" t="s">
        <v>595</v>
      </c>
      <c r="D92" t="s">
        <v>144</v>
      </c>
      <c r="F92" t="s">
        <v>145</v>
      </c>
    </row>
    <row r="93" spans="1:6">
      <c r="A93" t="s">
        <v>1489</v>
      </c>
      <c r="B93" t="s">
        <v>384</v>
      </c>
      <c r="C93" t="s">
        <v>596</v>
      </c>
      <c r="D93" t="s">
        <v>144</v>
      </c>
      <c r="F93" t="s">
        <v>145</v>
      </c>
    </row>
    <row r="94" spans="1:6">
      <c r="A94" t="s">
        <v>1489</v>
      </c>
      <c r="B94" t="s">
        <v>384</v>
      </c>
      <c r="C94" t="s">
        <v>597</v>
      </c>
      <c r="D94" t="s">
        <v>144</v>
      </c>
      <c r="F94" t="s">
        <v>145</v>
      </c>
    </row>
    <row r="95" spans="1:6">
      <c r="A95" t="s">
        <v>1489</v>
      </c>
      <c r="B95" t="s">
        <v>384</v>
      </c>
      <c r="C95" t="s">
        <v>598</v>
      </c>
      <c r="D95" t="s">
        <v>144</v>
      </c>
      <c r="F95" t="s">
        <v>145</v>
      </c>
    </row>
    <row r="96" spans="1:6">
      <c r="A96" t="s">
        <v>1489</v>
      </c>
      <c r="B96" t="s">
        <v>547</v>
      </c>
      <c r="C96" t="s">
        <v>565</v>
      </c>
      <c r="D96" t="s">
        <v>164</v>
      </c>
      <c r="E96" t="s">
        <v>599</v>
      </c>
      <c r="F96" t="s">
        <v>145</v>
      </c>
    </row>
    <row r="97" spans="1:6">
      <c r="A97" t="s">
        <v>1489</v>
      </c>
      <c r="B97" t="s">
        <v>547</v>
      </c>
      <c r="C97" t="s">
        <v>600</v>
      </c>
      <c r="D97" t="s">
        <v>144</v>
      </c>
      <c r="E97" t="s">
        <v>599</v>
      </c>
      <c r="F97" t="s">
        <v>145</v>
      </c>
    </row>
    <row r="98" spans="1:6">
      <c r="A98" t="s">
        <v>1489</v>
      </c>
      <c r="B98" t="s">
        <v>547</v>
      </c>
      <c r="C98" t="s">
        <v>601</v>
      </c>
      <c r="D98" t="s">
        <v>144</v>
      </c>
      <c r="E98" t="s">
        <v>599</v>
      </c>
      <c r="F98" t="s">
        <v>145</v>
      </c>
    </row>
    <row r="99" spans="1:6">
      <c r="A99" t="s">
        <v>1489</v>
      </c>
      <c r="B99" t="s">
        <v>547</v>
      </c>
      <c r="C99" t="s">
        <v>602</v>
      </c>
      <c r="D99" t="s">
        <v>144</v>
      </c>
      <c r="E99" t="s">
        <v>599</v>
      </c>
      <c r="F99" t="s">
        <v>145</v>
      </c>
    </row>
    <row r="100" spans="1:6">
      <c r="A100" t="s">
        <v>1489</v>
      </c>
      <c r="B100" t="s">
        <v>547</v>
      </c>
      <c r="C100" t="s">
        <v>603</v>
      </c>
      <c r="D100" t="s">
        <v>144</v>
      </c>
      <c r="E100" t="s">
        <v>599</v>
      </c>
      <c r="F100" t="s">
        <v>145</v>
      </c>
    </row>
    <row r="101" spans="1:6">
      <c r="A101" t="s">
        <v>1489</v>
      </c>
      <c r="B101" t="s">
        <v>1124</v>
      </c>
      <c r="C101" t="s">
        <v>15</v>
      </c>
      <c r="D101" t="s">
        <v>164</v>
      </c>
      <c r="E101" t="s">
        <v>604</v>
      </c>
      <c r="F101" t="s">
        <v>145</v>
      </c>
    </row>
    <row r="102" spans="1:6">
      <c r="A102" t="s">
        <v>1489</v>
      </c>
      <c r="B102" t="s">
        <v>1124</v>
      </c>
      <c r="C102" t="s">
        <v>38</v>
      </c>
      <c r="D102" t="s">
        <v>144</v>
      </c>
      <c r="E102" t="s">
        <v>604</v>
      </c>
      <c r="F102" t="s">
        <v>145</v>
      </c>
    </row>
    <row r="103" spans="1:6">
      <c r="A103" t="s">
        <v>1489</v>
      </c>
      <c r="B103" t="s">
        <v>1124</v>
      </c>
      <c r="C103" t="s">
        <v>37</v>
      </c>
      <c r="D103" t="s">
        <v>144</v>
      </c>
      <c r="E103" t="s">
        <v>604</v>
      </c>
      <c r="F103" t="s">
        <v>145</v>
      </c>
    </row>
    <row r="104" spans="1:6">
      <c r="A104" t="s">
        <v>1489</v>
      </c>
      <c r="B104" t="s">
        <v>1124</v>
      </c>
      <c r="C104" t="s">
        <v>40</v>
      </c>
      <c r="D104" t="s">
        <v>144</v>
      </c>
      <c r="E104" t="s">
        <v>604</v>
      </c>
      <c r="F104" t="s">
        <v>145</v>
      </c>
    </row>
    <row r="105" spans="1:6">
      <c r="A105" t="s">
        <v>1489</v>
      </c>
      <c r="B105" t="s">
        <v>1124</v>
      </c>
      <c r="C105" t="s">
        <v>39</v>
      </c>
      <c r="D105" t="s">
        <v>144</v>
      </c>
      <c r="E105" t="s">
        <v>604</v>
      </c>
      <c r="F105" t="s">
        <v>145</v>
      </c>
    </row>
    <row r="106" spans="1:6">
      <c r="A106" t="s">
        <v>1489</v>
      </c>
      <c r="B106" t="s">
        <v>535</v>
      </c>
      <c r="C106" t="s">
        <v>575</v>
      </c>
      <c r="D106" t="s">
        <v>164</v>
      </c>
      <c r="E106" t="s">
        <v>605</v>
      </c>
      <c r="F106" t="s">
        <v>145</v>
      </c>
    </row>
    <row r="107" spans="1:6">
      <c r="A107" t="s">
        <v>1489</v>
      </c>
      <c r="B107" t="s">
        <v>535</v>
      </c>
      <c r="C107" t="s">
        <v>606</v>
      </c>
      <c r="D107" t="s">
        <v>144</v>
      </c>
      <c r="E107" t="s">
        <v>605</v>
      </c>
      <c r="F107" t="s">
        <v>145</v>
      </c>
    </row>
    <row r="108" spans="1:6">
      <c r="A108" t="s">
        <v>1489</v>
      </c>
      <c r="B108" t="s">
        <v>535</v>
      </c>
      <c r="C108" t="s">
        <v>607</v>
      </c>
      <c r="D108" t="s">
        <v>144</v>
      </c>
      <c r="E108" t="s">
        <v>605</v>
      </c>
      <c r="F108" t="s">
        <v>145</v>
      </c>
    </row>
    <row r="109" spans="1:6">
      <c r="A109" t="s">
        <v>1489</v>
      </c>
      <c r="B109" t="s">
        <v>535</v>
      </c>
      <c r="C109" t="s">
        <v>608</v>
      </c>
      <c r="D109" t="s">
        <v>144</v>
      </c>
      <c r="E109" t="s">
        <v>605</v>
      </c>
      <c r="F109" t="s">
        <v>145</v>
      </c>
    </row>
    <row r="110" spans="1:6">
      <c r="A110" t="s">
        <v>1489</v>
      </c>
      <c r="B110" t="s">
        <v>535</v>
      </c>
      <c r="C110" t="s">
        <v>609</v>
      </c>
      <c r="D110" t="s">
        <v>144</v>
      </c>
      <c r="E110" t="s">
        <v>605</v>
      </c>
      <c r="F110" t="s">
        <v>145</v>
      </c>
    </row>
    <row r="111" spans="1:6">
      <c r="A111" t="s">
        <v>1489</v>
      </c>
      <c r="B111" t="s">
        <v>542</v>
      </c>
      <c r="C111" t="s">
        <v>581</v>
      </c>
      <c r="D111" t="s">
        <v>164</v>
      </c>
      <c r="E111" t="s">
        <v>605</v>
      </c>
      <c r="F111" t="s">
        <v>145</v>
      </c>
    </row>
    <row r="112" spans="1:6">
      <c r="A112" t="s">
        <v>1489</v>
      </c>
      <c r="B112" t="s">
        <v>542</v>
      </c>
      <c r="C112" t="s">
        <v>610</v>
      </c>
      <c r="D112" t="s">
        <v>144</v>
      </c>
      <c r="E112" t="s">
        <v>605</v>
      </c>
      <c r="F112" t="s">
        <v>145</v>
      </c>
    </row>
    <row r="113" spans="1:6">
      <c r="A113" t="s">
        <v>1489</v>
      </c>
      <c r="B113" t="s">
        <v>542</v>
      </c>
      <c r="C113" t="s">
        <v>611</v>
      </c>
      <c r="D113" t="s">
        <v>144</v>
      </c>
      <c r="E113" t="s">
        <v>605</v>
      </c>
      <c r="F113" t="s">
        <v>145</v>
      </c>
    </row>
    <row r="114" spans="1:6">
      <c r="A114" t="s">
        <v>1489</v>
      </c>
      <c r="B114" t="s">
        <v>542</v>
      </c>
      <c r="C114" t="s">
        <v>612</v>
      </c>
      <c r="D114" t="s">
        <v>144</v>
      </c>
      <c r="E114" t="s">
        <v>605</v>
      </c>
      <c r="F114" t="s">
        <v>145</v>
      </c>
    </row>
    <row r="115" spans="1:6">
      <c r="A115" t="s">
        <v>1489</v>
      </c>
      <c r="B115" t="s">
        <v>542</v>
      </c>
      <c r="C115" t="s">
        <v>613</v>
      </c>
      <c r="D115" t="s">
        <v>144</v>
      </c>
      <c r="E115" t="s">
        <v>605</v>
      </c>
      <c r="F115" t="s">
        <v>145</v>
      </c>
    </row>
    <row r="116" spans="1:6">
      <c r="A116" t="s">
        <v>1489</v>
      </c>
      <c r="B116" t="s">
        <v>337</v>
      </c>
      <c r="C116" t="s">
        <v>614</v>
      </c>
      <c r="D116" t="s">
        <v>164</v>
      </c>
      <c r="E116" t="s">
        <v>615</v>
      </c>
      <c r="F116" t="s">
        <v>337</v>
      </c>
    </row>
    <row r="117" spans="1:6">
      <c r="A117" t="s">
        <v>1489</v>
      </c>
      <c r="B117" t="s">
        <v>337</v>
      </c>
      <c r="C117" t="s">
        <v>616</v>
      </c>
      <c r="D117" t="s">
        <v>144</v>
      </c>
      <c r="E117" t="s">
        <v>615</v>
      </c>
      <c r="F117" t="s">
        <v>337</v>
      </c>
    </row>
    <row r="118" spans="1:6">
      <c r="A118" t="s">
        <v>1489</v>
      </c>
      <c r="B118" t="s">
        <v>337</v>
      </c>
      <c r="C118" t="s">
        <v>617</v>
      </c>
      <c r="D118" t="s">
        <v>144</v>
      </c>
      <c r="E118" t="s">
        <v>615</v>
      </c>
      <c r="F118" t="s">
        <v>337</v>
      </c>
    </row>
    <row r="119" spans="1:6">
      <c r="A119" t="s">
        <v>1489</v>
      </c>
      <c r="B119" t="s">
        <v>337</v>
      </c>
      <c r="C119" t="s">
        <v>618</v>
      </c>
      <c r="D119" t="s">
        <v>144</v>
      </c>
      <c r="E119" t="s">
        <v>615</v>
      </c>
      <c r="F119" t="s">
        <v>337</v>
      </c>
    </row>
    <row r="120" spans="1:6">
      <c r="A120" t="s">
        <v>1489</v>
      </c>
      <c r="B120" t="s">
        <v>337</v>
      </c>
      <c r="C120" t="s">
        <v>619</v>
      </c>
      <c r="D120" t="s">
        <v>144</v>
      </c>
      <c r="E120" t="s">
        <v>615</v>
      </c>
      <c r="F120" t="s">
        <v>337</v>
      </c>
    </row>
    <row r="121" spans="1:6">
      <c r="A121" t="s">
        <v>1489</v>
      </c>
      <c r="B121" t="s">
        <v>158</v>
      </c>
      <c r="C121" t="s">
        <v>510</v>
      </c>
      <c r="D121" t="s">
        <v>217</v>
      </c>
      <c r="F121" t="s">
        <v>145</v>
      </c>
    </row>
    <row r="122" spans="1:6">
      <c r="A122" t="s">
        <v>1489</v>
      </c>
      <c r="B122" t="s">
        <v>158</v>
      </c>
      <c r="C122" t="s">
        <v>69</v>
      </c>
      <c r="D122" t="s">
        <v>217</v>
      </c>
      <c r="F122" t="s">
        <v>145</v>
      </c>
    </row>
    <row r="123" spans="1:6">
      <c r="A123" t="s">
        <v>1489</v>
      </c>
      <c r="B123" t="s">
        <v>158</v>
      </c>
      <c r="C123" t="s">
        <v>494</v>
      </c>
      <c r="D123" t="s">
        <v>217</v>
      </c>
      <c r="F123" t="s">
        <v>337</v>
      </c>
    </row>
    <row r="124" spans="1:6">
      <c r="A124" t="s">
        <v>1489</v>
      </c>
      <c r="B124" t="s">
        <v>158</v>
      </c>
      <c r="C124" t="s">
        <v>350</v>
      </c>
      <c r="D124" t="s">
        <v>409</v>
      </c>
      <c r="F124" t="s">
        <v>145</v>
      </c>
    </row>
    <row r="125" spans="1:6">
      <c r="A125" t="s">
        <v>1489</v>
      </c>
      <c r="B125" t="s">
        <v>158</v>
      </c>
      <c r="C125" t="s">
        <v>408</v>
      </c>
      <c r="D125" t="s">
        <v>409</v>
      </c>
      <c r="F125" t="s">
        <v>145</v>
      </c>
    </row>
    <row r="126" spans="1:6">
      <c r="A126" t="s">
        <v>1489</v>
      </c>
      <c r="B126" t="s">
        <v>158</v>
      </c>
      <c r="C126" t="s">
        <v>589</v>
      </c>
      <c r="D126" t="s">
        <v>1486</v>
      </c>
      <c r="F126" t="s">
        <v>337</v>
      </c>
    </row>
    <row r="127" spans="1:6">
      <c r="A127" t="s">
        <v>1489</v>
      </c>
      <c r="B127" t="s">
        <v>158</v>
      </c>
      <c r="C127" t="s">
        <v>257</v>
      </c>
      <c r="D127" t="s">
        <v>1487</v>
      </c>
      <c r="F127" t="s">
        <v>145</v>
      </c>
    </row>
    <row r="128" spans="1:6">
      <c r="A128" t="s">
        <v>1490</v>
      </c>
      <c r="B128" t="s">
        <v>1467</v>
      </c>
      <c r="C128" t="s">
        <v>593</v>
      </c>
      <c r="D128" t="s">
        <v>164</v>
      </c>
      <c r="E128" t="s">
        <v>620</v>
      </c>
      <c r="F128" t="s">
        <v>145</v>
      </c>
    </row>
    <row r="129" spans="1:6">
      <c r="A129" t="s">
        <v>1490</v>
      </c>
      <c r="B129" t="s">
        <v>1467</v>
      </c>
      <c r="C129" t="s">
        <v>621</v>
      </c>
      <c r="D129" t="s">
        <v>144</v>
      </c>
      <c r="E129" t="s">
        <v>620</v>
      </c>
      <c r="F129" t="s">
        <v>145</v>
      </c>
    </row>
    <row r="130" spans="1:6">
      <c r="A130" t="s">
        <v>1490</v>
      </c>
      <c r="B130" t="s">
        <v>1467</v>
      </c>
      <c r="C130" t="s">
        <v>622</v>
      </c>
      <c r="D130" t="s">
        <v>144</v>
      </c>
      <c r="E130" t="s">
        <v>620</v>
      </c>
      <c r="F130" t="s">
        <v>145</v>
      </c>
    </row>
    <row r="131" spans="1:6">
      <c r="A131" t="s">
        <v>1490</v>
      </c>
      <c r="B131" t="s">
        <v>1467</v>
      </c>
      <c r="C131" t="s">
        <v>623</v>
      </c>
      <c r="D131" t="s">
        <v>144</v>
      </c>
      <c r="E131" t="s">
        <v>620</v>
      </c>
      <c r="F131" t="s">
        <v>145</v>
      </c>
    </row>
    <row r="132" spans="1:6">
      <c r="A132" t="s">
        <v>1490</v>
      </c>
      <c r="B132" t="s">
        <v>1467</v>
      </c>
      <c r="C132" t="s">
        <v>624</v>
      </c>
      <c r="D132" t="s">
        <v>144</v>
      </c>
      <c r="E132" t="s">
        <v>620</v>
      </c>
      <c r="F132" t="s">
        <v>145</v>
      </c>
    </row>
    <row r="133" spans="1:6">
      <c r="A133" t="s">
        <v>1490</v>
      </c>
      <c r="B133" t="s">
        <v>384</v>
      </c>
      <c r="C133" t="s">
        <v>569</v>
      </c>
      <c r="D133" t="s">
        <v>164</v>
      </c>
      <c r="F133" t="s">
        <v>145</v>
      </c>
    </row>
    <row r="134" spans="1:6">
      <c r="A134" t="s">
        <v>1490</v>
      </c>
      <c r="B134" t="s">
        <v>384</v>
      </c>
      <c r="C134" t="s">
        <v>625</v>
      </c>
      <c r="D134" t="s">
        <v>144</v>
      </c>
      <c r="F134" t="s">
        <v>145</v>
      </c>
    </row>
    <row r="135" spans="1:6">
      <c r="A135" t="s">
        <v>1490</v>
      </c>
      <c r="B135" t="s">
        <v>384</v>
      </c>
      <c r="C135" t="s">
        <v>626</v>
      </c>
      <c r="D135" t="s">
        <v>144</v>
      </c>
      <c r="F135" t="s">
        <v>145</v>
      </c>
    </row>
    <row r="136" spans="1:6">
      <c r="A136" t="s">
        <v>1490</v>
      </c>
      <c r="B136" t="s">
        <v>384</v>
      </c>
      <c r="C136" t="s">
        <v>627</v>
      </c>
      <c r="D136" t="s">
        <v>144</v>
      </c>
      <c r="F136" t="s">
        <v>145</v>
      </c>
    </row>
    <row r="137" spans="1:6">
      <c r="A137" t="s">
        <v>1490</v>
      </c>
      <c r="B137" t="s">
        <v>384</v>
      </c>
      <c r="C137" t="s">
        <v>628</v>
      </c>
      <c r="D137" t="s">
        <v>144</v>
      </c>
      <c r="F137" t="s">
        <v>145</v>
      </c>
    </row>
    <row r="138" spans="1:6">
      <c r="A138" t="s">
        <v>1490</v>
      </c>
      <c r="B138" t="s">
        <v>535</v>
      </c>
      <c r="C138" t="s">
        <v>600</v>
      </c>
      <c r="D138" t="s">
        <v>164</v>
      </c>
      <c r="E138" t="s">
        <v>629</v>
      </c>
      <c r="F138" t="s">
        <v>145</v>
      </c>
    </row>
    <row r="139" spans="1:6">
      <c r="A139" t="s">
        <v>1490</v>
      </c>
      <c r="B139" t="s">
        <v>535</v>
      </c>
      <c r="C139" t="s">
        <v>630</v>
      </c>
      <c r="D139" t="s">
        <v>144</v>
      </c>
      <c r="E139" t="s">
        <v>629</v>
      </c>
      <c r="F139" t="s">
        <v>145</v>
      </c>
    </row>
    <row r="140" spans="1:6">
      <c r="A140" t="s">
        <v>1490</v>
      </c>
      <c r="B140" t="s">
        <v>535</v>
      </c>
      <c r="C140" t="s">
        <v>631</v>
      </c>
      <c r="D140" t="s">
        <v>144</v>
      </c>
      <c r="E140" t="s">
        <v>629</v>
      </c>
      <c r="F140" t="s">
        <v>145</v>
      </c>
    </row>
    <row r="141" spans="1:6">
      <c r="A141" t="s">
        <v>1490</v>
      </c>
      <c r="B141" t="s">
        <v>535</v>
      </c>
      <c r="C141" t="s">
        <v>632</v>
      </c>
      <c r="D141" t="s">
        <v>144</v>
      </c>
      <c r="E141" t="s">
        <v>629</v>
      </c>
      <c r="F141" t="s">
        <v>145</v>
      </c>
    </row>
    <row r="142" spans="1:6">
      <c r="A142" t="s">
        <v>1490</v>
      </c>
      <c r="B142" t="s">
        <v>535</v>
      </c>
      <c r="C142" t="s">
        <v>53</v>
      </c>
      <c r="D142" t="s">
        <v>144</v>
      </c>
      <c r="E142" t="s">
        <v>629</v>
      </c>
      <c r="F142" t="s">
        <v>145</v>
      </c>
    </row>
    <row r="143" spans="1:6">
      <c r="A143" t="s">
        <v>1490</v>
      </c>
      <c r="B143" t="s">
        <v>535</v>
      </c>
      <c r="C143" t="s">
        <v>633</v>
      </c>
      <c r="D143" t="s">
        <v>144</v>
      </c>
      <c r="E143" t="s">
        <v>629</v>
      </c>
      <c r="F143" t="s">
        <v>145</v>
      </c>
    </row>
    <row r="144" spans="1:6">
      <c r="A144" t="s">
        <v>1490</v>
      </c>
      <c r="B144" t="s">
        <v>542</v>
      </c>
      <c r="C144" t="s">
        <v>509</v>
      </c>
      <c r="D144" t="s">
        <v>164</v>
      </c>
      <c r="E144" t="s">
        <v>629</v>
      </c>
      <c r="F144" t="s">
        <v>145</v>
      </c>
    </row>
    <row r="145" spans="1:6">
      <c r="A145" t="s">
        <v>1490</v>
      </c>
      <c r="B145" t="s">
        <v>542</v>
      </c>
      <c r="C145" t="s">
        <v>634</v>
      </c>
      <c r="D145" t="s">
        <v>144</v>
      </c>
      <c r="E145" t="s">
        <v>629</v>
      </c>
      <c r="F145" t="s">
        <v>145</v>
      </c>
    </row>
    <row r="146" spans="1:6">
      <c r="A146" t="s">
        <v>1490</v>
      </c>
      <c r="B146" t="s">
        <v>542</v>
      </c>
      <c r="C146" t="s">
        <v>607</v>
      </c>
      <c r="D146" t="s">
        <v>144</v>
      </c>
      <c r="E146" t="s">
        <v>629</v>
      </c>
      <c r="F146" t="s">
        <v>145</v>
      </c>
    </row>
    <row r="147" spans="1:6">
      <c r="A147" t="s">
        <v>1490</v>
      </c>
      <c r="B147" t="s">
        <v>542</v>
      </c>
      <c r="C147" t="s">
        <v>635</v>
      </c>
      <c r="D147" t="s">
        <v>144</v>
      </c>
      <c r="E147" t="s">
        <v>629</v>
      </c>
      <c r="F147" t="s">
        <v>145</v>
      </c>
    </row>
    <row r="148" spans="1:6">
      <c r="A148" t="s">
        <v>1490</v>
      </c>
      <c r="B148" t="s">
        <v>542</v>
      </c>
      <c r="C148" t="s">
        <v>636</v>
      </c>
      <c r="D148" t="s">
        <v>144</v>
      </c>
      <c r="E148" t="s">
        <v>629</v>
      </c>
      <c r="F148" t="s">
        <v>145</v>
      </c>
    </row>
    <row r="149" spans="1:6">
      <c r="A149" t="s">
        <v>1490</v>
      </c>
      <c r="B149" t="s">
        <v>547</v>
      </c>
      <c r="C149" t="s">
        <v>563</v>
      </c>
      <c r="D149" t="s">
        <v>164</v>
      </c>
      <c r="E149" t="s">
        <v>637</v>
      </c>
      <c r="F149" t="s">
        <v>145</v>
      </c>
    </row>
    <row r="150" spans="1:6">
      <c r="A150" t="s">
        <v>1490</v>
      </c>
      <c r="B150" t="s">
        <v>547</v>
      </c>
      <c r="C150" t="s">
        <v>638</v>
      </c>
      <c r="D150" t="s">
        <v>144</v>
      </c>
      <c r="E150" t="s">
        <v>637</v>
      </c>
      <c r="F150" t="s">
        <v>145</v>
      </c>
    </row>
    <row r="151" spans="1:6">
      <c r="A151" t="s">
        <v>1490</v>
      </c>
      <c r="B151" t="s">
        <v>547</v>
      </c>
      <c r="C151" t="s">
        <v>639</v>
      </c>
      <c r="D151" t="s">
        <v>144</v>
      </c>
      <c r="E151" t="s">
        <v>637</v>
      </c>
      <c r="F151" t="s">
        <v>145</v>
      </c>
    </row>
    <row r="152" spans="1:6">
      <c r="A152" t="s">
        <v>1490</v>
      </c>
      <c r="B152" t="s">
        <v>547</v>
      </c>
      <c r="C152" t="s">
        <v>640</v>
      </c>
      <c r="D152" t="s">
        <v>144</v>
      </c>
      <c r="E152" t="s">
        <v>637</v>
      </c>
      <c r="F152" t="s">
        <v>145</v>
      </c>
    </row>
    <row r="153" spans="1:6">
      <c r="A153" t="s">
        <v>1490</v>
      </c>
      <c r="B153" t="s">
        <v>547</v>
      </c>
      <c r="C153" t="s">
        <v>641</v>
      </c>
      <c r="D153" t="s">
        <v>144</v>
      </c>
      <c r="E153" t="s">
        <v>637</v>
      </c>
      <c r="F153" t="s">
        <v>145</v>
      </c>
    </row>
    <row r="154" spans="1:6">
      <c r="A154" t="s">
        <v>1490</v>
      </c>
      <c r="B154" t="s">
        <v>1124</v>
      </c>
      <c r="C154" t="s">
        <v>32</v>
      </c>
      <c r="D154" t="s">
        <v>164</v>
      </c>
      <c r="E154" t="s">
        <v>642</v>
      </c>
      <c r="F154" t="s">
        <v>145</v>
      </c>
    </row>
    <row r="155" spans="1:6">
      <c r="A155" t="s">
        <v>1490</v>
      </c>
      <c r="B155" t="s">
        <v>1124</v>
      </c>
      <c r="C155" t="s">
        <v>31</v>
      </c>
      <c r="D155" t="s">
        <v>144</v>
      </c>
      <c r="E155" t="s">
        <v>642</v>
      </c>
      <c r="F155" t="s">
        <v>145</v>
      </c>
    </row>
    <row r="156" spans="1:6">
      <c r="A156" t="s">
        <v>1490</v>
      </c>
      <c r="B156" t="s">
        <v>1124</v>
      </c>
      <c r="C156" t="s">
        <v>30</v>
      </c>
      <c r="D156" t="s">
        <v>144</v>
      </c>
      <c r="E156" t="s">
        <v>642</v>
      </c>
      <c r="F156" t="s">
        <v>145</v>
      </c>
    </row>
    <row r="157" spans="1:6">
      <c r="A157" t="s">
        <v>1490</v>
      </c>
      <c r="B157" t="s">
        <v>1124</v>
      </c>
      <c r="C157" t="s">
        <v>33</v>
      </c>
      <c r="D157" t="s">
        <v>144</v>
      </c>
      <c r="E157" t="s">
        <v>642</v>
      </c>
      <c r="F157" t="s">
        <v>145</v>
      </c>
    </row>
    <row r="158" spans="1:6">
      <c r="A158" t="s">
        <v>1490</v>
      </c>
      <c r="B158" t="s">
        <v>1124</v>
      </c>
      <c r="C158" t="s">
        <v>34</v>
      </c>
      <c r="D158" t="s">
        <v>144</v>
      </c>
      <c r="E158" t="s">
        <v>642</v>
      </c>
      <c r="F158" t="s">
        <v>145</v>
      </c>
    </row>
    <row r="159" spans="1:6">
      <c r="A159" t="s">
        <v>1490</v>
      </c>
      <c r="B159" t="s">
        <v>1124</v>
      </c>
      <c r="C159" t="s">
        <v>29</v>
      </c>
      <c r="D159" t="s">
        <v>144</v>
      </c>
      <c r="E159" t="s">
        <v>642</v>
      </c>
      <c r="F159" t="s">
        <v>145</v>
      </c>
    </row>
    <row r="160" spans="1:6">
      <c r="A160" t="s">
        <v>1490</v>
      </c>
      <c r="B160" t="s">
        <v>337</v>
      </c>
      <c r="C160" t="s">
        <v>617</v>
      </c>
      <c r="D160" t="s">
        <v>164</v>
      </c>
      <c r="E160" t="s">
        <v>643</v>
      </c>
      <c r="F160" t="s">
        <v>337</v>
      </c>
    </row>
    <row r="161" spans="1:6">
      <c r="A161" t="s">
        <v>1490</v>
      </c>
      <c r="B161" t="s">
        <v>337</v>
      </c>
      <c r="C161" t="s">
        <v>644</v>
      </c>
      <c r="D161" t="s">
        <v>144</v>
      </c>
      <c r="E161" t="s">
        <v>643</v>
      </c>
      <c r="F161" t="s">
        <v>337</v>
      </c>
    </row>
    <row r="162" spans="1:6">
      <c r="A162" t="s">
        <v>1490</v>
      </c>
      <c r="B162" t="s">
        <v>337</v>
      </c>
      <c r="C162" t="s">
        <v>645</v>
      </c>
      <c r="D162" t="s">
        <v>144</v>
      </c>
      <c r="E162" t="s">
        <v>643</v>
      </c>
      <c r="F162" t="s">
        <v>337</v>
      </c>
    </row>
    <row r="163" spans="1:6">
      <c r="A163" t="s">
        <v>1490</v>
      </c>
      <c r="B163" t="s">
        <v>337</v>
      </c>
      <c r="C163" t="s">
        <v>646</v>
      </c>
      <c r="D163" t="s">
        <v>144</v>
      </c>
      <c r="E163" t="s">
        <v>643</v>
      </c>
      <c r="F163" t="s">
        <v>337</v>
      </c>
    </row>
    <row r="164" spans="1:6">
      <c r="A164" t="s">
        <v>1490</v>
      </c>
      <c r="B164" t="s">
        <v>647</v>
      </c>
      <c r="C164" t="s">
        <v>476</v>
      </c>
      <c r="D164" t="s">
        <v>164</v>
      </c>
      <c r="E164" t="s">
        <v>648</v>
      </c>
      <c r="F164" t="s">
        <v>647</v>
      </c>
    </row>
    <row r="165" spans="1:6">
      <c r="A165" t="s">
        <v>1490</v>
      </c>
      <c r="B165" t="s">
        <v>647</v>
      </c>
      <c r="C165" t="s">
        <v>649</v>
      </c>
      <c r="D165" t="s">
        <v>144</v>
      </c>
      <c r="E165" t="s">
        <v>648</v>
      </c>
      <c r="F165" t="s">
        <v>647</v>
      </c>
    </row>
    <row r="166" spans="1:6">
      <c r="A166" t="s">
        <v>1490</v>
      </c>
      <c r="B166" t="s">
        <v>647</v>
      </c>
      <c r="C166" t="s">
        <v>650</v>
      </c>
      <c r="D166" t="s">
        <v>144</v>
      </c>
      <c r="E166" t="s">
        <v>648</v>
      </c>
      <c r="F166" t="s">
        <v>647</v>
      </c>
    </row>
    <row r="167" spans="1:6">
      <c r="A167" t="s">
        <v>1490</v>
      </c>
      <c r="B167" t="s">
        <v>647</v>
      </c>
      <c r="C167" t="s">
        <v>651</v>
      </c>
      <c r="D167" t="s">
        <v>144</v>
      </c>
      <c r="E167" t="s">
        <v>648</v>
      </c>
      <c r="F167" t="s">
        <v>647</v>
      </c>
    </row>
    <row r="168" spans="1:6">
      <c r="A168" t="s">
        <v>1490</v>
      </c>
      <c r="B168" t="s">
        <v>647</v>
      </c>
      <c r="C168" t="s">
        <v>652</v>
      </c>
      <c r="D168" t="s">
        <v>144</v>
      </c>
      <c r="E168" t="s">
        <v>648</v>
      </c>
      <c r="F168" t="s">
        <v>647</v>
      </c>
    </row>
    <row r="169" spans="1:6">
      <c r="A169" t="s">
        <v>1490</v>
      </c>
      <c r="B169" t="s">
        <v>158</v>
      </c>
      <c r="C169" t="s">
        <v>510</v>
      </c>
      <c r="D169" t="s">
        <v>217</v>
      </c>
      <c r="F169" t="s">
        <v>145</v>
      </c>
    </row>
    <row r="170" spans="1:6">
      <c r="A170" t="s">
        <v>1490</v>
      </c>
      <c r="B170" t="s">
        <v>158</v>
      </c>
      <c r="C170" t="s">
        <v>552</v>
      </c>
      <c r="D170" t="s">
        <v>217</v>
      </c>
      <c r="F170" t="s">
        <v>145</v>
      </c>
    </row>
    <row r="171" spans="1:6">
      <c r="A171" t="s">
        <v>1490</v>
      </c>
      <c r="B171" t="s">
        <v>158</v>
      </c>
      <c r="C171" t="s">
        <v>15</v>
      </c>
      <c r="D171" t="s">
        <v>217</v>
      </c>
      <c r="F171" t="s">
        <v>145</v>
      </c>
    </row>
    <row r="172" spans="1:6">
      <c r="A172" t="s">
        <v>1490</v>
      </c>
      <c r="B172" t="s">
        <v>158</v>
      </c>
      <c r="C172" t="s">
        <v>614</v>
      </c>
      <c r="D172" t="s">
        <v>217</v>
      </c>
      <c r="F172" t="s">
        <v>337</v>
      </c>
    </row>
    <row r="173" spans="1:6">
      <c r="A173" t="s">
        <v>1490</v>
      </c>
      <c r="B173" t="s">
        <v>158</v>
      </c>
      <c r="C173" t="s">
        <v>350</v>
      </c>
      <c r="D173" t="s">
        <v>653</v>
      </c>
      <c r="F173" t="s">
        <v>145</v>
      </c>
    </row>
    <row r="174" spans="1:6">
      <c r="A174" t="s">
        <v>1490</v>
      </c>
      <c r="B174" t="s">
        <v>158</v>
      </c>
      <c r="C174" t="s">
        <v>408</v>
      </c>
      <c r="D174" t="s">
        <v>409</v>
      </c>
      <c r="F174" t="s">
        <v>145</v>
      </c>
    </row>
    <row r="175" spans="1:6">
      <c r="A175" t="s">
        <v>1490</v>
      </c>
      <c r="B175" t="s">
        <v>158</v>
      </c>
      <c r="C175" t="s">
        <v>69</v>
      </c>
      <c r="D175" t="s">
        <v>654</v>
      </c>
      <c r="F175" t="s">
        <v>145</v>
      </c>
    </row>
    <row r="176" spans="1:6">
      <c r="A176" t="s">
        <v>1490</v>
      </c>
      <c r="B176" t="s">
        <v>158</v>
      </c>
      <c r="C176" t="s">
        <v>589</v>
      </c>
      <c r="D176" t="s">
        <v>473</v>
      </c>
      <c r="F176" t="s">
        <v>337</v>
      </c>
    </row>
    <row r="177" spans="1:6">
      <c r="A177" t="s">
        <v>1490</v>
      </c>
      <c r="B177" t="s">
        <v>158</v>
      </c>
      <c r="C177" t="s">
        <v>257</v>
      </c>
      <c r="D177" t="s">
        <v>1487</v>
      </c>
      <c r="F177" t="s">
        <v>145</v>
      </c>
    </row>
    <row r="178" spans="1:6">
      <c r="A178" t="s">
        <v>1491</v>
      </c>
      <c r="B178" t="s">
        <v>1467</v>
      </c>
      <c r="C178" t="s">
        <v>623</v>
      </c>
      <c r="D178" t="s">
        <v>164</v>
      </c>
      <c r="E178" t="s">
        <v>655</v>
      </c>
      <c r="F178" t="s">
        <v>145</v>
      </c>
    </row>
    <row r="179" spans="1:6">
      <c r="A179" t="s">
        <v>1491</v>
      </c>
      <c r="B179" t="s">
        <v>1467</v>
      </c>
      <c r="C179" t="s">
        <v>656</v>
      </c>
      <c r="D179" t="s">
        <v>144</v>
      </c>
      <c r="E179" t="s">
        <v>655</v>
      </c>
      <c r="F179" t="s">
        <v>145</v>
      </c>
    </row>
    <row r="180" spans="1:6">
      <c r="A180" t="s">
        <v>1491</v>
      </c>
      <c r="B180" t="s">
        <v>1467</v>
      </c>
      <c r="C180" t="s">
        <v>657</v>
      </c>
      <c r="D180" t="s">
        <v>144</v>
      </c>
      <c r="E180" t="s">
        <v>655</v>
      </c>
      <c r="F180" t="s">
        <v>145</v>
      </c>
    </row>
    <row r="181" spans="1:6">
      <c r="A181" t="s">
        <v>1491</v>
      </c>
      <c r="B181" t="s">
        <v>1467</v>
      </c>
      <c r="C181" t="s">
        <v>658</v>
      </c>
      <c r="D181" t="s">
        <v>144</v>
      </c>
      <c r="E181" t="s">
        <v>655</v>
      </c>
      <c r="F181" t="s">
        <v>145</v>
      </c>
    </row>
    <row r="182" spans="1:6">
      <c r="A182" t="s">
        <v>1491</v>
      </c>
      <c r="B182" t="s">
        <v>1467</v>
      </c>
      <c r="C182" t="s">
        <v>659</v>
      </c>
      <c r="D182" t="s">
        <v>144</v>
      </c>
      <c r="E182" t="s">
        <v>655</v>
      </c>
      <c r="F182" t="s">
        <v>145</v>
      </c>
    </row>
    <row r="183" spans="1:6">
      <c r="A183" t="s">
        <v>1491</v>
      </c>
      <c r="B183" t="s">
        <v>384</v>
      </c>
      <c r="C183" t="s">
        <v>628</v>
      </c>
      <c r="D183" t="s">
        <v>164</v>
      </c>
      <c r="F183" t="s">
        <v>145</v>
      </c>
    </row>
    <row r="184" spans="1:6">
      <c r="A184" t="s">
        <v>1491</v>
      </c>
      <c r="B184" t="s">
        <v>384</v>
      </c>
      <c r="C184" t="s">
        <v>660</v>
      </c>
      <c r="D184" t="s">
        <v>144</v>
      </c>
      <c r="F184" t="s">
        <v>145</v>
      </c>
    </row>
    <row r="185" spans="1:6">
      <c r="A185" t="s">
        <v>1491</v>
      </c>
      <c r="B185" t="s">
        <v>384</v>
      </c>
      <c r="C185" t="s">
        <v>661</v>
      </c>
      <c r="D185" t="s">
        <v>144</v>
      </c>
      <c r="F185" t="s">
        <v>145</v>
      </c>
    </row>
    <row r="186" spans="1:6">
      <c r="A186" t="s">
        <v>1491</v>
      </c>
      <c r="B186" t="s">
        <v>384</v>
      </c>
      <c r="C186" t="s">
        <v>662</v>
      </c>
      <c r="D186" t="s">
        <v>144</v>
      </c>
      <c r="F186" t="s">
        <v>145</v>
      </c>
    </row>
    <row r="187" spans="1:6">
      <c r="A187" t="s">
        <v>1491</v>
      </c>
      <c r="B187" t="s">
        <v>384</v>
      </c>
      <c r="C187" t="s">
        <v>663</v>
      </c>
      <c r="D187" t="s">
        <v>144</v>
      </c>
      <c r="F187" t="s">
        <v>145</v>
      </c>
    </row>
    <row r="188" spans="1:6">
      <c r="A188" t="s">
        <v>1491</v>
      </c>
      <c r="B188" t="s">
        <v>535</v>
      </c>
      <c r="C188" t="s">
        <v>639</v>
      </c>
      <c r="D188" t="s">
        <v>164</v>
      </c>
      <c r="E188" t="s">
        <v>664</v>
      </c>
      <c r="F188" t="s">
        <v>145</v>
      </c>
    </row>
    <row r="189" spans="1:6">
      <c r="A189" t="s">
        <v>1491</v>
      </c>
      <c r="B189" t="s">
        <v>535</v>
      </c>
      <c r="C189" t="s">
        <v>665</v>
      </c>
      <c r="D189" t="s">
        <v>144</v>
      </c>
      <c r="E189" t="s">
        <v>664</v>
      </c>
      <c r="F189" t="s">
        <v>145</v>
      </c>
    </row>
    <row r="190" spans="1:6">
      <c r="A190" t="s">
        <v>1491</v>
      </c>
      <c r="B190" t="s">
        <v>535</v>
      </c>
      <c r="C190" t="s">
        <v>666</v>
      </c>
      <c r="D190" t="s">
        <v>144</v>
      </c>
      <c r="E190" t="s">
        <v>664</v>
      </c>
      <c r="F190" t="s">
        <v>145</v>
      </c>
    </row>
    <row r="191" spans="1:6">
      <c r="A191" t="s">
        <v>1491</v>
      </c>
      <c r="B191" t="s">
        <v>535</v>
      </c>
      <c r="C191" t="s">
        <v>667</v>
      </c>
      <c r="D191" t="s">
        <v>144</v>
      </c>
      <c r="E191" t="s">
        <v>664</v>
      </c>
      <c r="F191" t="s">
        <v>145</v>
      </c>
    </row>
    <row r="192" spans="1:6">
      <c r="A192" t="s">
        <v>1491</v>
      </c>
      <c r="B192" t="s">
        <v>535</v>
      </c>
      <c r="C192" t="s">
        <v>668</v>
      </c>
      <c r="D192" t="s">
        <v>144</v>
      </c>
      <c r="E192" t="s">
        <v>664</v>
      </c>
      <c r="F192" t="s">
        <v>145</v>
      </c>
    </row>
    <row r="193" spans="1:6">
      <c r="A193" t="s">
        <v>1491</v>
      </c>
      <c r="B193" t="s">
        <v>542</v>
      </c>
      <c r="C193" t="s">
        <v>669</v>
      </c>
      <c r="D193" t="s">
        <v>164</v>
      </c>
      <c r="E193" t="s">
        <v>664</v>
      </c>
      <c r="F193" t="s">
        <v>145</v>
      </c>
    </row>
    <row r="194" spans="1:6">
      <c r="A194" t="s">
        <v>1491</v>
      </c>
      <c r="B194" t="s">
        <v>542</v>
      </c>
      <c r="C194" t="s">
        <v>670</v>
      </c>
      <c r="D194" t="s">
        <v>144</v>
      </c>
      <c r="E194" t="s">
        <v>664</v>
      </c>
      <c r="F194" t="s">
        <v>145</v>
      </c>
    </row>
    <row r="195" spans="1:6">
      <c r="A195" t="s">
        <v>1491</v>
      </c>
      <c r="B195" t="s">
        <v>542</v>
      </c>
      <c r="C195" t="s">
        <v>671</v>
      </c>
      <c r="D195" t="s">
        <v>144</v>
      </c>
      <c r="E195" t="s">
        <v>664</v>
      </c>
      <c r="F195" t="s">
        <v>145</v>
      </c>
    </row>
    <row r="196" spans="1:6">
      <c r="A196" t="s">
        <v>1491</v>
      </c>
      <c r="B196" t="s">
        <v>542</v>
      </c>
      <c r="C196" t="s">
        <v>672</v>
      </c>
      <c r="D196" t="s">
        <v>144</v>
      </c>
      <c r="E196" t="s">
        <v>664</v>
      </c>
      <c r="F196" t="s">
        <v>145</v>
      </c>
    </row>
    <row r="197" spans="1:6">
      <c r="A197" t="s">
        <v>1491</v>
      </c>
      <c r="B197" t="s">
        <v>542</v>
      </c>
      <c r="C197" t="s">
        <v>673</v>
      </c>
      <c r="D197" t="s">
        <v>144</v>
      </c>
      <c r="E197" t="s">
        <v>664</v>
      </c>
      <c r="F197" t="s">
        <v>145</v>
      </c>
    </row>
    <row r="198" spans="1:6">
      <c r="A198" t="s">
        <v>1491</v>
      </c>
      <c r="B198" t="s">
        <v>1118</v>
      </c>
      <c r="C198" t="s">
        <v>537</v>
      </c>
      <c r="D198" t="s">
        <v>164</v>
      </c>
      <c r="E198" t="s">
        <v>674</v>
      </c>
      <c r="F198" t="s">
        <v>145</v>
      </c>
    </row>
    <row r="199" spans="1:6">
      <c r="A199" t="s">
        <v>1491</v>
      </c>
      <c r="B199" t="s">
        <v>1118</v>
      </c>
      <c r="C199" t="s">
        <v>675</v>
      </c>
      <c r="D199" t="s">
        <v>144</v>
      </c>
      <c r="E199" t="s">
        <v>674</v>
      </c>
      <c r="F199" t="s">
        <v>145</v>
      </c>
    </row>
    <row r="200" spans="1:6">
      <c r="A200" t="s">
        <v>1491</v>
      </c>
      <c r="B200" t="s">
        <v>1118</v>
      </c>
      <c r="C200" t="s">
        <v>676</v>
      </c>
      <c r="D200" t="s">
        <v>144</v>
      </c>
      <c r="E200" t="s">
        <v>674</v>
      </c>
      <c r="F200" t="s">
        <v>145</v>
      </c>
    </row>
    <row r="201" spans="1:6">
      <c r="A201" t="s">
        <v>1491</v>
      </c>
      <c r="B201" t="s">
        <v>1118</v>
      </c>
      <c r="C201" t="s">
        <v>677</v>
      </c>
      <c r="D201" t="s">
        <v>144</v>
      </c>
      <c r="E201" t="s">
        <v>674</v>
      </c>
      <c r="F201" t="s">
        <v>145</v>
      </c>
    </row>
    <row r="202" spans="1:6">
      <c r="A202" t="s">
        <v>1491</v>
      </c>
      <c r="B202" t="s">
        <v>1118</v>
      </c>
      <c r="C202" t="s">
        <v>678</v>
      </c>
      <c r="D202" t="s">
        <v>144</v>
      </c>
      <c r="E202" t="s">
        <v>674</v>
      </c>
      <c r="F202" t="s">
        <v>145</v>
      </c>
    </row>
    <row r="203" spans="1:6">
      <c r="A203" t="s">
        <v>1491</v>
      </c>
      <c r="B203" t="s">
        <v>1492</v>
      </c>
      <c r="C203" t="s">
        <v>565</v>
      </c>
      <c r="D203" t="s">
        <v>164</v>
      </c>
      <c r="E203" t="s">
        <v>680</v>
      </c>
      <c r="F203" t="s">
        <v>145</v>
      </c>
    </row>
    <row r="204" spans="1:6">
      <c r="A204" t="s">
        <v>1491</v>
      </c>
      <c r="B204" t="s">
        <v>1492</v>
      </c>
      <c r="C204" t="s">
        <v>681</v>
      </c>
      <c r="D204" t="s">
        <v>144</v>
      </c>
      <c r="E204" t="s">
        <v>680</v>
      </c>
      <c r="F204" t="s">
        <v>145</v>
      </c>
    </row>
    <row r="205" spans="1:6">
      <c r="A205" t="s">
        <v>1491</v>
      </c>
      <c r="B205" t="s">
        <v>1492</v>
      </c>
      <c r="C205" t="s">
        <v>682</v>
      </c>
      <c r="D205" t="s">
        <v>144</v>
      </c>
      <c r="E205" t="s">
        <v>680</v>
      </c>
      <c r="F205" t="s">
        <v>145</v>
      </c>
    </row>
    <row r="206" spans="1:6">
      <c r="A206" t="s">
        <v>1491</v>
      </c>
      <c r="B206" t="s">
        <v>1492</v>
      </c>
      <c r="C206" t="s">
        <v>683</v>
      </c>
      <c r="D206" t="s">
        <v>144</v>
      </c>
      <c r="E206" t="s">
        <v>680</v>
      </c>
      <c r="F206" t="s">
        <v>145</v>
      </c>
    </row>
    <row r="207" spans="1:6">
      <c r="A207" t="s">
        <v>1491</v>
      </c>
      <c r="B207" t="s">
        <v>1124</v>
      </c>
      <c r="C207" t="s">
        <v>53</v>
      </c>
      <c r="D207" t="s">
        <v>164</v>
      </c>
      <c r="E207" t="s">
        <v>684</v>
      </c>
      <c r="F207" t="s">
        <v>145</v>
      </c>
    </row>
    <row r="208" spans="1:6">
      <c r="A208" t="s">
        <v>1491</v>
      </c>
      <c r="B208" t="s">
        <v>1124</v>
      </c>
      <c r="C208" t="s">
        <v>50</v>
      </c>
      <c r="D208" t="s">
        <v>144</v>
      </c>
      <c r="E208" t="s">
        <v>684</v>
      </c>
      <c r="F208" t="s">
        <v>145</v>
      </c>
    </row>
    <row r="209" spans="1:6">
      <c r="A209" t="s">
        <v>1491</v>
      </c>
      <c r="B209" t="s">
        <v>1124</v>
      </c>
      <c r="C209" t="s">
        <v>46</v>
      </c>
      <c r="D209" t="s">
        <v>144</v>
      </c>
      <c r="E209" t="s">
        <v>684</v>
      </c>
      <c r="F209" t="s">
        <v>145</v>
      </c>
    </row>
    <row r="210" spans="1:6">
      <c r="A210" t="s">
        <v>1491</v>
      </c>
      <c r="B210" t="s">
        <v>1124</v>
      </c>
      <c r="C210" t="s">
        <v>52</v>
      </c>
      <c r="D210" t="s">
        <v>144</v>
      </c>
      <c r="E210" t="s">
        <v>684</v>
      </c>
      <c r="F210" t="s">
        <v>145</v>
      </c>
    </row>
    <row r="211" spans="1:6">
      <c r="A211" t="s">
        <v>1491</v>
      </c>
      <c r="B211" t="s">
        <v>1124</v>
      </c>
      <c r="C211" t="s">
        <v>51</v>
      </c>
      <c r="D211" t="s">
        <v>144</v>
      </c>
      <c r="E211" t="s">
        <v>684</v>
      </c>
      <c r="F211" t="s">
        <v>145</v>
      </c>
    </row>
    <row r="212" spans="1:6">
      <c r="A212" t="s">
        <v>1491</v>
      </c>
      <c r="B212" t="s">
        <v>647</v>
      </c>
      <c r="C212" t="s">
        <v>650</v>
      </c>
      <c r="D212" t="s">
        <v>164</v>
      </c>
      <c r="E212" t="s">
        <v>685</v>
      </c>
      <c r="F212" t="s">
        <v>647</v>
      </c>
    </row>
    <row r="213" spans="1:6">
      <c r="A213" t="s">
        <v>1491</v>
      </c>
      <c r="B213" t="s">
        <v>647</v>
      </c>
      <c r="C213" t="s">
        <v>686</v>
      </c>
      <c r="D213" t="s">
        <v>144</v>
      </c>
      <c r="E213" t="s">
        <v>685</v>
      </c>
      <c r="F213" t="s">
        <v>647</v>
      </c>
    </row>
    <row r="214" spans="1:6">
      <c r="A214" t="s">
        <v>1491</v>
      </c>
      <c r="B214" t="s">
        <v>647</v>
      </c>
      <c r="C214" t="s">
        <v>687</v>
      </c>
      <c r="D214" t="s">
        <v>144</v>
      </c>
      <c r="E214" t="s">
        <v>685</v>
      </c>
      <c r="F214" t="s">
        <v>647</v>
      </c>
    </row>
    <row r="215" spans="1:6">
      <c r="A215" t="s">
        <v>1491</v>
      </c>
      <c r="B215" t="s">
        <v>647</v>
      </c>
      <c r="C215" t="s">
        <v>688</v>
      </c>
      <c r="D215" t="s">
        <v>144</v>
      </c>
      <c r="E215" t="s">
        <v>685</v>
      </c>
      <c r="F215" t="s">
        <v>647</v>
      </c>
    </row>
    <row r="216" spans="1:6">
      <c r="A216" t="s">
        <v>1491</v>
      </c>
      <c r="B216" t="s">
        <v>647</v>
      </c>
      <c r="C216" t="s">
        <v>689</v>
      </c>
      <c r="D216" t="s">
        <v>144</v>
      </c>
      <c r="E216" t="s">
        <v>685</v>
      </c>
      <c r="F216" t="s">
        <v>647</v>
      </c>
    </row>
    <row r="217" spans="1:6">
      <c r="A217" t="s">
        <v>1491</v>
      </c>
      <c r="B217" t="s">
        <v>337</v>
      </c>
      <c r="C217" t="s">
        <v>645</v>
      </c>
      <c r="D217" t="s">
        <v>164</v>
      </c>
      <c r="E217" t="s">
        <v>690</v>
      </c>
      <c r="F217" t="s">
        <v>337</v>
      </c>
    </row>
    <row r="218" spans="1:6">
      <c r="A218" t="s">
        <v>1491</v>
      </c>
      <c r="B218" t="s">
        <v>337</v>
      </c>
      <c r="C218" t="s">
        <v>691</v>
      </c>
      <c r="D218" t="s">
        <v>144</v>
      </c>
      <c r="E218" t="s">
        <v>690</v>
      </c>
      <c r="F218" t="s">
        <v>337</v>
      </c>
    </row>
    <row r="219" spans="1:6">
      <c r="A219" t="s">
        <v>1491</v>
      </c>
      <c r="B219" t="s">
        <v>337</v>
      </c>
      <c r="C219" t="s">
        <v>692</v>
      </c>
      <c r="D219" t="s">
        <v>144</v>
      </c>
      <c r="E219" t="s">
        <v>690</v>
      </c>
      <c r="F219" t="s">
        <v>337</v>
      </c>
    </row>
    <row r="220" spans="1:6">
      <c r="A220" t="s">
        <v>1491</v>
      </c>
      <c r="B220" t="s">
        <v>158</v>
      </c>
      <c r="C220" t="s">
        <v>552</v>
      </c>
      <c r="D220" t="s">
        <v>217</v>
      </c>
      <c r="F220" t="s">
        <v>145</v>
      </c>
    </row>
    <row r="221" spans="1:6">
      <c r="A221" t="s">
        <v>1491</v>
      </c>
      <c r="B221" t="s">
        <v>158</v>
      </c>
      <c r="C221" t="s">
        <v>15</v>
      </c>
      <c r="D221" t="s">
        <v>217</v>
      </c>
      <c r="F221" t="s">
        <v>145</v>
      </c>
    </row>
    <row r="222" spans="1:6">
      <c r="A222" t="s">
        <v>1491</v>
      </c>
      <c r="B222" t="s">
        <v>158</v>
      </c>
      <c r="C222" t="s">
        <v>565</v>
      </c>
      <c r="D222" t="s">
        <v>217</v>
      </c>
      <c r="F222" t="s">
        <v>145</v>
      </c>
    </row>
    <row r="223" spans="1:6">
      <c r="A223" t="s">
        <v>1491</v>
      </c>
      <c r="B223" t="s">
        <v>158</v>
      </c>
      <c r="C223" t="s">
        <v>614</v>
      </c>
      <c r="D223" t="s">
        <v>217</v>
      </c>
      <c r="F223" t="s">
        <v>337</v>
      </c>
    </row>
    <row r="224" spans="1:6">
      <c r="A224" t="s">
        <v>1491</v>
      </c>
      <c r="B224" t="s">
        <v>158</v>
      </c>
      <c r="C224" t="s">
        <v>350</v>
      </c>
      <c r="D224" t="s">
        <v>653</v>
      </c>
      <c r="F224" t="s">
        <v>145</v>
      </c>
    </row>
    <row r="225" spans="1:6">
      <c r="A225" t="s">
        <v>1491</v>
      </c>
      <c r="B225" t="s">
        <v>158</v>
      </c>
      <c r="C225" t="s">
        <v>408</v>
      </c>
      <c r="D225" t="s">
        <v>409</v>
      </c>
      <c r="F225" t="s">
        <v>145</v>
      </c>
    </row>
    <row r="226" spans="1:6">
      <c r="A226" t="s">
        <v>1491</v>
      </c>
      <c r="B226" t="s">
        <v>158</v>
      </c>
      <c r="C226" t="s">
        <v>69</v>
      </c>
      <c r="D226" t="s">
        <v>654</v>
      </c>
      <c r="F226" t="s">
        <v>145</v>
      </c>
    </row>
    <row r="227" spans="1:6">
      <c r="A227" t="s">
        <v>1491</v>
      </c>
      <c r="B227" t="s">
        <v>158</v>
      </c>
      <c r="C227" t="s">
        <v>589</v>
      </c>
      <c r="D227" t="s">
        <v>473</v>
      </c>
      <c r="F227" t="s">
        <v>337</v>
      </c>
    </row>
    <row r="228" spans="1:6">
      <c r="A228" t="s">
        <v>1491</v>
      </c>
      <c r="B228" t="s">
        <v>158</v>
      </c>
      <c r="C228" t="s">
        <v>257</v>
      </c>
      <c r="D228" t="s">
        <v>1487</v>
      </c>
      <c r="F228" t="s">
        <v>145</v>
      </c>
    </row>
    <row r="229" spans="1:6">
      <c r="A229" t="s">
        <v>1493</v>
      </c>
      <c r="B229" t="s">
        <v>1118</v>
      </c>
      <c r="C229" t="s">
        <v>693</v>
      </c>
      <c r="D229" t="s">
        <v>164</v>
      </c>
      <c r="E229" t="s">
        <v>694</v>
      </c>
      <c r="F229" t="s">
        <v>145</v>
      </c>
    </row>
    <row r="230" spans="1:6">
      <c r="A230" t="s">
        <v>1493</v>
      </c>
      <c r="B230" t="s">
        <v>1118</v>
      </c>
      <c r="C230" t="s">
        <v>695</v>
      </c>
      <c r="D230" t="s">
        <v>144</v>
      </c>
      <c r="E230" t="s">
        <v>694</v>
      </c>
      <c r="F230" t="s">
        <v>145</v>
      </c>
    </row>
    <row r="231" spans="1:6">
      <c r="A231" t="s">
        <v>1493</v>
      </c>
      <c r="B231" t="s">
        <v>1118</v>
      </c>
      <c r="C231" t="s">
        <v>61</v>
      </c>
      <c r="D231" t="s">
        <v>144</v>
      </c>
      <c r="E231" t="s">
        <v>694</v>
      </c>
      <c r="F231" t="s">
        <v>145</v>
      </c>
    </row>
    <row r="232" spans="1:6">
      <c r="A232" t="s">
        <v>1493</v>
      </c>
      <c r="B232" t="s">
        <v>1118</v>
      </c>
      <c r="C232" t="s">
        <v>696</v>
      </c>
      <c r="D232" t="s">
        <v>144</v>
      </c>
      <c r="E232" t="s">
        <v>694</v>
      </c>
      <c r="F232" t="s">
        <v>145</v>
      </c>
    </row>
    <row r="233" spans="1:6">
      <c r="A233" t="s">
        <v>1493</v>
      </c>
      <c r="B233" t="s">
        <v>1118</v>
      </c>
      <c r="C233" t="s">
        <v>697</v>
      </c>
      <c r="D233" t="s">
        <v>144</v>
      </c>
      <c r="E233" t="s">
        <v>694</v>
      </c>
      <c r="F233" t="s">
        <v>145</v>
      </c>
    </row>
    <row r="234" spans="1:6">
      <c r="A234" t="s">
        <v>1493</v>
      </c>
      <c r="B234" t="s">
        <v>384</v>
      </c>
      <c r="C234" t="s">
        <v>660</v>
      </c>
      <c r="D234" t="s">
        <v>164</v>
      </c>
      <c r="F234" t="s">
        <v>145</v>
      </c>
    </row>
    <row r="235" spans="1:6">
      <c r="A235" t="s">
        <v>1493</v>
      </c>
      <c r="B235" t="s">
        <v>384</v>
      </c>
      <c r="C235" t="s">
        <v>698</v>
      </c>
      <c r="D235" t="s">
        <v>144</v>
      </c>
      <c r="F235" t="s">
        <v>145</v>
      </c>
    </row>
    <row r="236" spans="1:6">
      <c r="A236" t="s">
        <v>1493</v>
      </c>
      <c r="B236" t="s">
        <v>384</v>
      </c>
      <c r="C236" t="s">
        <v>699</v>
      </c>
      <c r="D236" t="s">
        <v>144</v>
      </c>
      <c r="F236" t="s">
        <v>145</v>
      </c>
    </row>
    <row r="237" spans="1:6">
      <c r="A237" t="s">
        <v>1493</v>
      </c>
      <c r="B237" t="s">
        <v>384</v>
      </c>
      <c r="C237" t="s">
        <v>700</v>
      </c>
      <c r="D237" t="s">
        <v>144</v>
      </c>
      <c r="F237" t="s">
        <v>145</v>
      </c>
    </row>
    <row r="238" spans="1:6">
      <c r="A238" t="s">
        <v>1493</v>
      </c>
      <c r="B238" t="s">
        <v>1492</v>
      </c>
      <c r="C238" t="s">
        <v>682</v>
      </c>
      <c r="D238" t="s">
        <v>164</v>
      </c>
      <c r="E238" t="s">
        <v>701</v>
      </c>
      <c r="F238" t="s">
        <v>145</v>
      </c>
    </row>
    <row r="239" spans="1:6">
      <c r="A239" t="s">
        <v>1493</v>
      </c>
      <c r="B239" t="s">
        <v>1492</v>
      </c>
      <c r="C239" t="s">
        <v>702</v>
      </c>
      <c r="D239" t="s">
        <v>144</v>
      </c>
      <c r="E239" t="s">
        <v>701</v>
      </c>
      <c r="F239" t="s">
        <v>145</v>
      </c>
    </row>
    <row r="240" spans="1:6">
      <c r="A240" t="s">
        <v>1493</v>
      </c>
      <c r="B240" t="s">
        <v>1492</v>
      </c>
      <c r="C240" t="s">
        <v>703</v>
      </c>
      <c r="D240" t="s">
        <v>144</v>
      </c>
      <c r="E240" t="s">
        <v>701</v>
      </c>
      <c r="F240" t="s">
        <v>145</v>
      </c>
    </row>
    <row r="241" spans="1:6">
      <c r="A241" t="s">
        <v>1493</v>
      </c>
      <c r="B241" t="s">
        <v>1492</v>
      </c>
      <c r="C241" t="s">
        <v>704</v>
      </c>
      <c r="D241" t="s">
        <v>144</v>
      </c>
      <c r="E241" t="s">
        <v>701</v>
      </c>
      <c r="F241" t="s">
        <v>145</v>
      </c>
    </row>
    <row r="242" spans="1:6">
      <c r="A242" t="s">
        <v>1493</v>
      </c>
      <c r="B242" t="s">
        <v>1492</v>
      </c>
      <c r="C242" t="s">
        <v>705</v>
      </c>
      <c r="D242" t="s">
        <v>144</v>
      </c>
      <c r="E242" t="s">
        <v>701</v>
      </c>
      <c r="F242" t="s">
        <v>145</v>
      </c>
    </row>
    <row r="243" spans="1:6">
      <c r="A243" t="s">
        <v>1493</v>
      </c>
      <c r="B243" t="s">
        <v>1124</v>
      </c>
      <c r="C243" t="s">
        <v>46</v>
      </c>
      <c r="D243" t="s">
        <v>164</v>
      </c>
      <c r="E243" t="s">
        <v>706</v>
      </c>
      <c r="F243" t="s">
        <v>145</v>
      </c>
    </row>
    <row r="244" spans="1:6">
      <c r="A244" t="s">
        <v>1493</v>
      </c>
      <c r="B244" t="s">
        <v>1124</v>
      </c>
      <c r="C244" t="s">
        <v>44</v>
      </c>
      <c r="D244" t="s">
        <v>144</v>
      </c>
      <c r="E244" t="s">
        <v>706</v>
      </c>
      <c r="F244" t="s">
        <v>145</v>
      </c>
    </row>
    <row r="245" spans="1:6">
      <c r="A245" t="s">
        <v>1493</v>
      </c>
      <c r="B245" t="s">
        <v>1124</v>
      </c>
      <c r="C245" t="s">
        <v>43</v>
      </c>
      <c r="D245" t="s">
        <v>144</v>
      </c>
      <c r="E245" t="s">
        <v>706</v>
      </c>
      <c r="F245" t="s">
        <v>145</v>
      </c>
    </row>
    <row r="246" spans="1:6">
      <c r="A246" t="s">
        <v>1493</v>
      </c>
      <c r="B246" t="s">
        <v>1124</v>
      </c>
      <c r="C246" t="s">
        <v>47</v>
      </c>
      <c r="D246" t="s">
        <v>144</v>
      </c>
      <c r="E246" t="s">
        <v>706</v>
      </c>
      <c r="F246" t="s">
        <v>145</v>
      </c>
    </row>
    <row r="247" spans="1:6">
      <c r="A247" t="s">
        <v>1493</v>
      </c>
      <c r="B247" t="s">
        <v>1124</v>
      </c>
      <c r="C247" t="s">
        <v>45</v>
      </c>
      <c r="D247" t="s">
        <v>144</v>
      </c>
      <c r="E247" t="s">
        <v>706</v>
      </c>
      <c r="F247" t="s">
        <v>145</v>
      </c>
    </row>
    <row r="248" spans="1:6">
      <c r="A248" t="s">
        <v>1493</v>
      </c>
      <c r="B248" t="s">
        <v>1467</v>
      </c>
      <c r="C248" t="s">
        <v>621</v>
      </c>
      <c r="D248" t="s">
        <v>164</v>
      </c>
      <c r="E248" t="s">
        <v>707</v>
      </c>
      <c r="F248" t="s">
        <v>145</v>
      </c>
    </row>
    <row r="249" spans="1:6">
      <c r="A249" t="s">
        <v>1493</v>
      </c>
      <c r="B249" t="s">
        <v>1467</v>
      </c>
      <c r="C249" t="s">
        <v>708</v>
      </c>
      <c r="D249" t="s">
        <v>144</v>
      </c>
      <c r="E249" t="s">
        <v>707</v>
      </c>
      <c r="F249" t="s">
        <v>145</v>
      </c>
    </row>
    <row r="250" spans="1:6">
      <c r="A250" t="s">
        <v>1493</v>
      </c>
      <c r="B250" t="s">
        <v>1467</v>
      </c>
      <c r="C250" t="s">
        <v>709</v>
      </c>
      <c r="D250" t="s">
        <v>144</v>
      </c>
      <c r="E250" t="s">
        <v>707</v>
      </c>
      <c r="F250" t="s">
        <v>145</v>
      </c>
    </row>
    <row r="251" spans="1:6">
      <c r="A251" t="s">
        <v>1493</v>
      </c>
      <c r="B251" t="s">
        <v>1467</v>
      </c>
      <c r="C251" t="s">
        <v>710</v>
      </c>
      <c r="D251" t="s">
        <v>144</v>
      </c>
      <c r="E251" t="s">
        <v>707</v>
      </c>
      <c r="F251" t="s">
        <v>145</v>
      </c>
    </row>
    <row r="252" spans="1:6">
      <c r="A252" t="s">
        <v>1493</v>
      </c>
      <c r="B252" t="s">
        <v>1467</v>
      </c>
      <c r="C252" t="s">
        <v>711</v>
      </c>
      <c r="D252" t="s">
        <v>144</v>
      </c>
      <c r="E252" t="s">
        <v>707</v>
      </c>
      <c r="F252" t="s">
        <v>145</v>
      </c>
    </row>
    <row r="253" spans="1:6">
      <c r="A253" t="s">
        <v>1493</v>
      </c>
      <c r="B253" t="s">
        <v>535</v>
      </c>
      <c r="C253" t="s">
        <v>627</v>
      </c>
      <c r="D253" t="s">
        <v>164</v>
      </c>
      <c r="E253" t="s">
        <v>712</v>
      </c>
      <c r="F253" t="s">
        <v>145</v>
      </c>
    </row>
    <row r="254" spans="1:6">
      <c r="A254" t="s">
        <v>1493</v>
      </c>
      <c r="B254" t="s">
        <v>535</v>
      </c>
      <c r="C254" t="s">
        <v>713</v>
      </c>
      <c r="D254" t="s">
        <v>144</v>
      </c>
      <c r="E254" t="s">
        <v>712</v>
      </c>
      <c r="F254" t="s">
        <v>145</v>
      </c>
    </row>
    <row r="255" spans="1:6">
      <c r="A255" t="s">
        <v>1493</v>
      </c>
      <c r="B255" t="s">
        <v>535</v>
      </c>
      <c r="C255" t="s">
        <v>714</v>
      </c>
      <c r="D255" t="s">
        <v>144</v>
      </c>
      <c r="E255" t="s">
        <v>712</v>
      </c>
      <c r="F255" t="s">
        <v>145</v>
      </c>
    </row>
    <row r="256" spans="1:6">
      <c r="A256" t="s">
        <v>1493</v>
      </c>
      <c r="B256" t="s">
        <v>535</v>
      </c>
      <c r="C256" t="s">
        <v>715</v>
      </c>
      <c r="D256" t="s">
        <v>144</v>
      </c>
      <c r="E256" t="s">
        <v>712</v>
      </c>
      <c r="F256" t="s">
        <v>145</v>
      </c>
    </row>
    <row r="257" spans="1:6">
      <c r="A257" t="s">
        <v>1493</v>
      </c>
      <c r="B257" t="s">
        <v>535</v>
      </c>
      <c r="C257" t="s">
        <v>716</v>
      </c>
      <c r="D257" t="s">
        <v>144</v>
      </c>
      <c r="E257" t="s">
        <v>712</v>
      </c>
      <c r="F257" t="s">
        <v>145</v>
      </c>
    </row>
    <row r="258" spans="1:6">
      <c r="A258" t="s">
        <v>1493</v>
      </c>
      <c r="B258" t="s">
        <v>542</v>
      </c>
      <c r="C258" t="s">
        <v>670</v>
      </c>
      <c r="D258" t="s">
        <v>164</v>
      </c>
      <c r="E258" t="s">
        <v>712</v>
      </c>
      <c r="F258" t="s">
        <v>145</v>
      </c>
    </row>
    <row r="259" spans="1:6">
      <c r="A259" t="s">
        <v>1493</v>
      </c>
      <c r="B259" t="s">
        <v>542</v>
      </c>
      <c r="C259" t="s">
        <v>666</v>
      </c>
      <c r="D259" t="s">
        <v>144</v>
      </c>
      <c r="E259" t="s">
        <v>712</v>
      </c>
      <c r="F259" t="s">
        <v>145</v>
      </c>
    </row>
    <row r="260" spans="1:6">
      <c r="A260" t="s">
        <v>1493</v>
      </c>
      <c r="B260" t="s">
        <v>542</v>
      </c>
      <c r="C260" t="s">
        <v>717</v>
      </c>
      <c r="D260" t="s">
        <v>144</v>
      </c>
      <c r="E260" t="s">
        <v>712</v>
      </c>
      <c r="F260" t="s">
        <v>145</v>
      </c>
    </row>
    <row r="261" spans="1:6">
      <c r="A261" t="s">
        <v>1493</v>
      </c>
      <c r="B261" t="s">
        <v>542</v>
      </c>
      <c r="C261" t="s">
        <v>718</v>
      </c>
      <c r="D261" t="s">
        <v>144</v>
      </c>
      <c r="E261" t="s">
        <v>712</v>
      </c>
      <c r="F261" t="s">
        <v>145</v>
      </c>
    </row>
    <row r="262" spans="1:6">
      <c r="A262" t="s">
        <v>1493</v>
      </c>
      <c r="B262" t="s">
        <v>542</v>
      </c>
      <c r="C262" t="s">
        <v>719</v>
      </c>
      <c r="D262" t="s">
        <v>144</v>
      </c>
      <c r="E262" t="s">
        <v>712</v>
      </c>
      <c r="F262" t="s">
        <v>145</v>
      </c>
    </row>
    <row r="263" spans="1:6">
      <c r="A263" t="s">
        <v>1493</v>
      </c>
      <c r="B263" t="s">
        <v>542</v>
      </c>
      <c r="C263" t="s">
        <v>720</v>
      </c>
      <c r="D263" t="s">
        <v>144</v>
      </c>
      <c r="E263" t="s">
        <v>712</v>
      </c>
      <c r="F263" t="s">
        <v>145</v>
      </c>
    </row>
    <row r="264" spans="1:6">
      <c r="A264" t="s">
        <v>1493</v>
      </c>
      <c r="B264" t="s">
        <v>542</v>
      </c>
      <c r="C264" t="s">
        <v>721</v>
      </c>
      <c r="D264" t="s">
        <v>144</v>
      </c>
      <c r="E264" t="s">
        <v>712</v>
      </c>
      <c r="F264" t="s">
        <v>145</v>
      </c>
    </row>
    <row r="265" spans="1:6">
      <c r="A265" t="s">
        <v>1493</v>
      </c>
      <c r="B265" t="s">
        <v>647</v>
      </c>
      <c r="C265" t="s">
        <v>689</v>
      </c>
      <c r="D265" t="s">
        <v>164</v>
      </c>
      <c r="E265" t="s">
        <v>722</v>
      </c>
      <c r="F265" t="s">
        <v>647</v>
      </c>
    </row>
    <row r="266" spans="1:6">
      <c r="A266" t="s">
        <v>1493</v>
      </c>
      <c r="B266" t="s">
        <v>647</v>
      </c>
      <c r="C266" t="s">
        <v>723</v>
      </c>
      <c r="D266" t="s">
        <v>144</v>
      </c>
      <c r="E266" t="s">
        <v>722</v>
      </c>
      <c r="F266" t="s">
        <v>647</v>
      </c>
    </row>
    <row r="267" spans="1:6">
      <c r="A267" t="s">
        <v>1493</v>
      </c>
      <c r="B267" t="s">
        <v>647</v>
      </c>
      <c r="C267" t="s">
        <v>724</v>
      </c>
      <c r="D267" t="s">
        <v>144</v>
      </c>
      <c r="E267" t="s">
        <v>722</v>
      </c>
      <c r="F267" t="s">
        <v>647</v>
      </c>
    </row>
    <row r="268" spans="1:6">
      <c r="A268" t="s">
        <v>1493</v>
      </c>
      <c r="B268" t="s">
        <v>647</v>
      </c>
      <c r="C268" t="s">
        <v>725</v>
      </c>
      <c r="D268" t="s">
        <v>144</v>
      </c>
      <c r="E268" t="s">
        <v>722</v>
      </c>
      <c r="F268" t="s">
        <v>647</v>
      </c>
    </row>
    <row r="269" spans="1:6">
      <c r="A269" t="s">
        <v>1493</v>
      </c>
      <c r="B269" t="s">
        <v>647</v>
      </c>
      <c r="C269" t="s">
        <v>687</v>
      </c>
      <c r="D269" t="s">
        <v>164</v>
      </c>
      <c r="E269" t="s">
        <v>726</v>
      </c>
      <c r="F269" t="s">
        <v>647</v>
      </c>
    </row>
    <row r="270" spans="1:6">
      <c r="A270" t="s">
        <v>1493</v>
      </c>
      <c r="B270" t="s">
        <v>647</v>
      </c>
      <c r="C270" t="s">
        <v>727</v>
      </c>
      <c r="D270" t="s">
        <v>144</v>
      </c>
      <c r="E270" t="s">
        <v>726</v>
      </c>
      <c r="F270" t="s">
        <v>647</v>
      </c>
    </row>
    <row r="271" spans="1:6">
      <c r="A271" t="s">
        <v>1493</v>
      </c>
      <c r="B271" t="s">
        <v>647</v>
      </c>
      <c r="C271" t="s">
        <v>728</v>
      </c>
      <c r="D271" t="s">
        <v>144</v>
      </c>
      <c r="E271" t="s">
        <v>726</v>
      </c>
      <c r="F271" t="s">
        <v>647</v>
      </c>
    </row>
    <row r="272" spans="1:6">
      <c r="A272" t="s">
        <v>1493</v>
      </c>
      <c r="B272" t="s">
        <v>647</v>
      </c>
      <c r="C272" t="s">
        <v>729</v>
      </c>
      <c r="D272" t="s">
        <v>144</v>
      </c>
      <c r="E272" t="s">
        <v>726</v>
      </c>
      <c r="F272" t="s">
        <v>647</v>
      </c>
    </row>
    <row r="273" spans="1:6">
      <c r="A273" s="1" t="s">
        <v>1493</v>
      </c>
      <c r="B273" s="1" t="s">
        <v>337</v>
      </c>
      <c r="C273" s="1" t="s">
        <v>730</v>
      </c>
      <c r="D273" s="1" t="s">
        <v>164</v>
      </c>
      <c r="E273" s="1"/>
      <c r="F273" s="1" t="s">
        <v>337</v>
      </c>
    </row>
    <row r="274" spans="1:6">
      <c r="A274" t="s">
        <v>1493</v>
      </c>
      <c r="B274" t="s">
        <v>337</v>
      </c>
      <c r="C274" t="s">
        <v>731</v>
      </c>
      <c r="D274" t="s">
        <v>144</v>
      </c>
      <c r="F274" t="s">
        <v>337</v>
      </c>
    </row>
    <row r="275" spans="1:6">
      <c r="A275" t="s">
        <v>1493</v>
      </c>
      <c r="B275" t="s">
        <v>337</v>
      </c>
      <c r="C275" t="s">
        <v>732</v>
      </c>
      <c r="D275" t="s">
        <v>144</v>
      </c>
      <c r="F275" t="s">
        <v>337</v>
      </c>
    </row>
    <row r="276" spans="1:6">
      <c r="A276" t="s">
        <v>1493</v>
      </c>
      <c r="B276" t="s">
        <v>337</v>
      </c>
      <c r="C276" t="s">
        <v>733</v>
      </c>
      <c r="D276" t="s">
        <v>144</v>
      </c>
      <c r="F276" t="s">
        <v>337</v>
      </c>
    </row>
    <row r="277" spans="1:6">
      <c r="A277" t="s">
        <v>1493</v>
      </c>
      <c r="B277" t="s">
        <v>158</v>
      </c>
      <c r="C277" t="s">
        <v>552</v>
      </c>
      <c r="D277" t="s">
        <v>217</v>
      </c>
      <c r="F277" t="s">
        <v>145</v>
      </c>
    </row>
    <row r="278" spans="1:6">
      <c r="A278" t="s">
        <v>1493</v>
      </c>
      <c r="B278" t="s">
        <v>158</v>
      </c>
      <c r="C278" t="s">
        <v>563</v>
      </c>
      <c r="D278" t="s">
        <v>217</v>
      </c>
      <c r="F278" t="s">
        <v>145</v>
      </c>
    </row>
    <row r="279" spans="1:6">
      <c r="A279" t="s">
        <v>1493</v>
      </c>
      <c r="B279" t="s">
        <v>158</v>
      </c>
      <c r="C279" t="s">
        <v>734</v>
      </c>
      <c r="D279" t="s">
        <v>217</v>
      </c>
      <c r="F279" t="s">
        <v>337</v>
      </c>
    </row>
    <row r="280" spans="1:6">
      <c r="A280" t="s">
        <v>1493</v>
      </c>
      <c r="B280" t="s">
        <v>158</v>
      </c>
      <c r="C280" t="s">
        <v>350</v>
      </c>
      <c r="D280" t="s">
        <v>653</v>
      </c>
      <c r="F280" t="s">
        <v>145</v>
      </c>
    </row>
    <row r="281" spans="1:6">
      <c r="A281" t="s">
        <v>1493</v>
      </c>
      <c r="B281" t="s">
        <v>158</v>
      </c>
      <c r="C281" t="s">
        <v>408</v>
      </c>
      <c r="D281" t="s">
        <v>409</v>
      </c>
      <c r="F281" t="s">
        <v>145</v>
      </c>
    </row>
    <row r="282" spans="1:6">
      <c r="A282" t="s">
        <v>1493</v>
      </c>
      <c r="B282" t="s">
        <v>158</v>
      </c>
      <c r="C282" t="s">
        <v>69</v>
      </c>
      <c r="D282" t="s">
        <v>654</v>
      </c>
      <c r="F282" t="s">
        <v>145</v>
      </c>
    </row>
    <row r="283" spans="1:6">
      <c r="A283" t="s">
        <v>1493</v>
      </c>
      <c r="B283" t="s">
        <v>158</v>
      </c>
      <c r="C283" t="s">
        <v>589</v>
      </c>
      <c r="D283" t="s">
        <v>473</v>
      </c>
      <c r="F283" t="s">
        <v>145</v>
      </c>
    </row>
    <row r="284" spans="1:6">
      <c r="A284" t="s">
        <v>1493</v>
      </c>
      <c r="B284" t="s">
        <v>158</v>
      </c>
      <c r="C284" t="s">
        <v>257</v>
      </c>
      <c r="D284" t="s">
        <v>1487</v>
      </c>
      <c r="F284" t="s">
        <v>145</v>
      </c>
    </row>
    <row r="285" spans="1:6">
      <c r="A285" t="s">
        <v>1494</v>
      </c>
      <c r="B285" t="s">
        <v>547</v>
      </c>
      <c r="C285" t="s">
        <v>735</v>
      </c>
      <c r="D285" t="s">
        <v>164</v>
      </c>
      <c r="E285" t="s">
        <v>736</v>
      </c>
      <c r="F285" t="s">
        <v>145</v>
      </c>
    </row>
    <row r="286" spans="1:6">
      <c r="A286" t="s">
        <v>1494</v>
      </c>
      <c r="B286" t="s">
        <v>547</v>
      </c>
      <c r="C286" t="s">
        <v>737</v>
      </c>
      <c r="D286" t="s">
        <v>144</v>
      </c>
      <c r="E286" t="s">
        <v>736</v>
      </c>
      <c r="F286" t="s">
        <v>145</v>
      </c>
    </row>
    <row r="287" spans="1:6">
      <c r="A287" t="s">
        <v>1494</v>
      </c>
      <c r="B287" t="s">
        <v>547</v>
      </c>
      <c r="C287" t="s">
        <v>738</v>
      </c>
      <c r="D287" t="s">
        <v>144</v>
      </c>
      <c r="E287" t="s">
        <v>736</v>
      </c>
      <c r="F287" t="s">
        <v>145</v>
      </c>
    </row>
    <row r="288" spans="1:6">
      <c r="A288" t="s">
        <v>1494</v>
      </c>
      <c r="B288" t="s">
        <v>547</v>
      </c>
      <c r="C288" t="s">
        <v>739</v>
      </c>
      <c r="D288" t="s">
        <v>144</v>
      </c>
      <c r="E288" t="s">
        <v>736</v>
      </c>
      <c r="F288" t="s">
        <v>145</v>
      </c>
    </row>
    <row r="289" spans="1:6">
      <c r="A289" t="s">
        <v>1494</v>
      </c>
      <c r="B289" t="s">
        <v>384</v>
      </c>
      <c r="C289" t="s">
        <v>662</v>
      </c>
      <c r="D289" t="s">
        <v>164</v>
      </c>
      <c r="F289" t="s">
        <v>145</v>
      </c>
    </row>
    <row r="290" spans="1:6">
      <c r="A290" t="s">
        <v>1494</v>
      </c>
      <c r="B290" t="s">
        <v>384</v>
      </c>
      <c r="C290" t="s">
        <v>740</v>
      </c>
      <c r="D290" t="s">
        <v>144</v>
      </c>
      <c r="F290" t="s">
        <v>145</v>
      </c>
    </row>
    <row r="291" spans="1:6">
      <c r="A291" t="s">
        <v>1494</v>
      </c>
      <c r="B291" t="s">
        <v>384</v>
      </c>
      <c r="C291" t="s">
        <v>741</v>
      </c>
      <c r="D291" t="s">
        <v>144</v>
      </c>
      <c r="F291" t="s">
        <v>145</v>
      </c>
    </row>
    <row r="292" spans="1:6">
      <c r="A292" t="s">
        <v>1494</v>
      </c>
      <c r="B292" t="s">
        <v>384</v>
      </c>
      <c r="C292" t="s">
        <v>742</v>
      </c>
      <c r="D292" t="s">
        <v>144</v>
      </c>
      <c r="F292" t="s">
        <v>145</v>
      </c>
    </row>
    <row r="293" spans="1:6">
      <c r="A293" t="s">
        <v>1494</v>
      </c>
      <c r="B293" t="s">
        <v>384</v>
      </c>
      <c r="C293" t="s">
        <v>743</v>
      </c>
      <c r="D293" t="s">
        <v>144</v>
      </c>
      <c r="F293" t="s">
        <v>145</v>
      </c>
    </row>
    <row r="294" spans="1:6">
      <c r="A294" t="s">
        <v>1494</v>
      </c>
      <c r="B294" t="s">
        <v>1492</v>
      </c>
      <c r="C294" t="s">
        <v>704</v>
      </c>
      <c r="D294" t="s">
        <v>164</v>
      </c>
      <c r="E294" t="s">
        <v>701</v>
      </c>
      <c r="F294" t="s">
        <v>145</v>
      </c>
    </row>
    <row r="295" spans="1:6">
      <c r="A295" t="s">
        <v>1494</v>
      </c>
      <c r="B295" t="s">
        <v>1492</v>
      </c>
      <c r="C295" t="s">
        <v>744</v>
      </c>
      <c r="D295" t="s">
        <v>144</v>
      </c>
      <c r="E295" t="s">
        <v>701</v>
      </c>
      <c r="F295" t="s">
        <v>145</v>
      </c>
    </row>
    <row r="296" spans="1:6">
      <c r="A296" t="s">
        <v>1494</v>
      </c>
      <c r="B296" t="s">
        <v>1492</v>
      </c>
      <c r="C296" t="s">
        <v>745</v>
      </c>
      <c r="D296" t="s">
        <v>144</v>
      </c>
      <c r="E296" t="s">
        <v>701</v>
      </c>
      <c r="F296" t="s">
        <v>145</v>
      </c>
    </row>
    <row r="297" spans="1:6">
      <c r="A297" t="s">
        <v>1494</v>
      </c>
      <c r="B297" t="s">
        <v>1492</v>
      </c>
      <c r="C297" t="s">
        <v>746</v>
      </c>
      <c r="D297" t="s">
        <v>144</v>
      </c>
      <c r="E297" t="s">
        <v>701</v>
      </c>
      <c r="F297" t="s">
        <v>145</v>
      </c>
    </row>
    <row r="298" spans="1:6">
      <c r="A298" t="s">
        <v>1494</v>
      </c>
      <c r="B298" t="s">
        <v>535</v>
      </c>
      <c r="C298" t="s">
        <v>45</v>
      </c>
      <c r="D298" t="s">
        <v>164</v>
      </c>
      <c r="E298" t="s">
        <v>747</v>
      </c>
      <c r="F298" t="s">
        <v>145</v>
      </c>
    </row>
    <row r="299" spans="1:6">
      <c r="A299" t="s">
        <v>1494</v>
      </c>
      <c r="B299" t="s">
        <v>535</v>
      </c>
      <c r="C299" t="s">
        <v>748</v>
      </c>
      <c r="D299" t="s">
        <v>144</v>
      </c>
      <c r="E299" t="s">
        <v>747</v>
      </c>
      <c r="F299" t="s">
        <v>145</v>
      </c>
    </row>
    <row r="300" spans="1:6">
      <c r="A300" t="s">
        <v>1494</v>
      </c>
      <c r="B300" t="s">
        <v>535</v>
      </c>
      <c r="C300" t="s">
        <v>749</v>
      </c>
      <c r="D300" t="s">
        <v>144</v>
      </c>
      <c r="E300" t="s">
        <v>747</v>
      </c>
      <c r="F300" t="s">
        <v>145</v>
      </c>
    </row>
    <row r="301" spans="1:6">
      <c r="A301" t="s">
        <v>1494</v>
      </c>
      <c r="B301" t="s">
        <v>535</v>
      </c>
      <c r="C301" t="s">
        <v>750</v>
      </c>
      <c r="D301" t="s">
        <v>144</v>
      </c>
      <c r="E301" t="s">
        <v>747</v>
      </c>
      <c r="F301" t="s">
        <v>145</v>
      </c>
    </row>
    <row r="302" spans="1:6">
      <c r="A302" t="s">
        <v>1494</v>
      </c>
      <c r="B302" t="s">
        <v>535</v>
      </c>
      <c r="C302" t="s">
        <v>751</v>
      </c>
      <c r="D302" t="s">
        <v>144</v>
      </c>
      <c r="E302" t="s">
        <v>747</v>
      </c>
      <c r="F302" t="s">
        <v>145</v>
      </c>
    </row>
    <row r="303" spans="1:6">
      <c r="A303" t="s">
        <v>1494</v>
      </c>
      <c r="B303" t="s">
        <v>542</v>
      </c>
      <c r="C303" t="s">
        <v>721</v>
      </c>
      <c r="D303" t="s">
        <v>164</v>
      </c>
      <c r="E303" t="s">
        <v>747</v>
      </c>
      <c r="F303" t="s">
        <v>145</v>
      </c>
    </row>
    <row r="304" spans="1:6">
      <c r="A304" t="s">
        <v>1494</v>
      </c>
      <c r="B304" t="s">
        <v>542</v>
      </c>
      <c r="C304" t="s">
        <v>752</v>
      </c>
      <c r="D304" t="s">
        <v>144</v>
      </c>
      <c r="E304" t="s">
        <v>747</v>
      </c>
      <c r="F304" t="s">
        <v>145</v>
      </c>
    </row>
    <row r="305" spans="1:6">
      <c r="A305" t="s">
        <v>1494</v>
      </c>
      <c r="B305" t="s">
        <v>542</v>
      </c>
      <c r="C305" t="s">
        <v>753</v>
      </c>
      <c r="D305" t="s">
        <v>144</v>
      </c>
      <c r="E305" t="s">
        <v>747</v>
      </c>
      <c r="F305" t="s">
        <v>145</v>
      </c>
    </row>
    <row r="306" spans="1:6">
      <c r="A306" t="s">
        <v>1494</v>
      </c>
      <c r="B306" t="s">
        <v>542</v>
      </c>
      <c r="C306" t="s">
        <v>754</v>
      </c>
      <c r="D306" t="s">
        <v>144</v>
      </c>
      <c r="E306" t="s">
        <v>747</v>
      </c>
      <c r="F306" t="s">
        <v>145</v>
      </c>
    </row>
    <row r="307" spans="1:6">
      <c r="A307" t="s">
        <v>1494</v>
      </c>
      <c r="B307" t="s">
        <v>542</v>
      </c>
      <c r="C307" t="s">
        <v>755</v>
      </c>
      <c r="D307" t="s">
        <v>144</v>
      </c>
      <c r="E307" t="s">
        <v>747</v>
      </c>
      <c r="F307" t="s">
        <v>145</v>
      </c>
    </row>
    <row r="308" spans="1:6">
      <c r="A308" t="s">
        <v>1494</v>
      </c>
      <c r="B308" t="s">
        <v>1124</v>
      </c>
      <c r="C308" t="s">
        <v>46</v>
      </c>
      <c r="D308" t="s">
        <v>164</v>
      </c>
      <c r="E308" t="s">
        <v>756</v>
      </c>
      <c r="F308" t="s">
        <v>145</v>
      </c>
    </row>
    <row r="309" spans="1:6">
      <c r="A309" t="s">
        <v>1494</v>
      </c>
      <c r="B309" t="s">
        <v>1124</v>
      </c>
      <c r="C309" t="s">
        <v>59</v>
      </c>
      <c r="D309" t="s">
        <v>144</v>
      </c>
      <c r="E309" t="s">
        <v>756</v>
      </c>
      <c r="F309" t="s">
        <v>145</v>
      </c>
    </row>
    <row r="310" spans="1:6">
      <c r="A310" t="s">
        <v>1494</v>
      </c>
      <c r="B310" t="s">
        <v>1124</v>
      </c>
      <c r="C310" t="s">
        <v>66</v>
      </c>
      <c r="D310" t="s">
        <v>144</v>
      </c>
      <c r="E310" t="s">
        <v>756</v>
      </c>
      <c r="F310" t="s">
        <v>145</v>
      </c>
    </row>
    <row r="311" spans="1:6">
      <c r="A311" t="s">
        <v>1494</v>
      </c>
      <c r="B311" t="s">
        <v>1124</v>
      </c>
      <c r="C311" t="s">
        <v>65</v>
      </c>
      <c r="D311" t="s">
        <v>144</v>
      </c>
      <c r="E311" t="s">
        <v>756</v>
      </c>
      <c r="F311" t="s">
        <v>145</v>
      </c>
    </row>
    <row r="312" spans="1:6">
      <c r="A312" t="s">
        <v>1494</v>
      </c>
      <c r="B312" t="s">
        <v>1124</v>
      </c>
      <c r="C312" t="s">
        <v>64</v>
      </c>
      <c r="D312" t="s">
        <v>144</v>
      </c>
      <c r="E312" t="s">
        <v>756</v>
      </c>
      <c r="F312" t="s">
        <v>145</v>
      </c>
    </row>
    <row r="313" spans="1:6">
      <c r="A313" t="s">
        <v>1494</v>
      </c>
      <c r="B313" t="s">
        <v>757</v>
      </c>
      <c r="C313" t="s">
        <v>666</v>
      </c>
      <c r="D313" t="s">
        <v>144</v>
      </c>
      <c r="E313" t="s">
        <v>758</v>
      </c>
      <c r="F313" t="s">
        <v>145</v>
      </c>
    </row>
    <row r="314" spans="1:6">
      <c r="A314" t="s">
        <v>1494</v>
      </c>
      <c r="B314" t="s">
        <v>757</v>
      </c>
      <c r="C314" t="s">
        <v>43</v>
      </c>
      <c r="D314" t="s">
        <v>144</v>
      </c>
      <c r="E314" t="s">
        <v>758</v>
      </c>
      <c r="F314" t="s">
        <v>145</v>
      </c>
    </row>
    <row r="315" spans="1:6">
      <c r="A315" t="s">
        <v>1494</v>
      </c>
      <c r="B315" t="s">
        <v>757</v>
      </c>
      <c r="C315" t="s">
        <v>710</v>
      </c>
      <c r="D315" t="s">
        <v>144</v>
      </c>
      <c r="E315" t="s">
        <v>758</v>
      </c>
      <c r="F315" t="s">
        <v>145</v>
      </c>
    </row>
    <row r="316" spans="1:6">
      <c r="A316" t="s">
        <v>1494</v>
      </c>
      <c r="B316" t="s">
        <v>647</v>
      </c>
      <c r="C316" t="s">
        <v>652</v>
      </c>
      <c r="D316" t="s">
        <v>164</v>
      </c>
      <c r="E316" t="s">
        <v>759</v>
      </c>
      <c r="F316" t="s">
        <v>647</v>
      </c>
    </row>
    <row r="317" spans="1:6">
      <c r="A317" t="s">
        <v>1494</v>
      </c>
      <c r="B317" t="s">
        <v>647</v>
      </c>
      <c r="C317" t="s">
        <v>760</v>
      </c>
      <c r="D317" t="s">
        <v>144</v>
      </c>
      <c r="E317" t="s">
        <v>759</v>
      </c>
      <c r="F317" t="s">
        <v>647</v>
      </c>
    </row>
    <row r="318" spans="1:6">
      <c r="A318" t="s">
        <v>1494</v>
      </c>
      <c r="B318" t="s">
        <v>647</v>
      </c>
      <c r="C318" t="s">
        <v>761</v>
      </c>
      <c r="D318" t="s">
        <v>144</v>
      </c>
      <c r="E318" t="s">
        <v>759</v>
      </c>
      <c r="F318" t="s">
        <v>647</v>
      </c>
    </row>
    <row r="319" spans="1:6">
      <c r="A319" t="s">
        <v>1494</v>
      </c>
      <c r="B319" t="s">
        <v>647</v>
      </c>
      <c r="C319" t="s">
        <v>762</v>
      </c>
      <c r="D319" t="s">
        <v>144</v>
      </c>
      <c r="E319" t="s">
        <v>759</v>
      </c>
      <c r="F319" t="s">
        <v>647</v>
      </c>
    </row>
    <row r="320" spans="1:6">
      <c r="A320" t="s">
        <v>1494</v>
      </c>
      <c r="B320" t="s">
        <v>647</v>
      </c>
      <c r="C320" t="s">
        <v>763</v>
      </c>
      <c r="D320" t="s">
        <v>144</v>
      </c>
      <c r="E320" t="s">
        <v>759</v>
      </c>
      <c r="F320" t="s">
        <v>647</v>
      </c>
    </row>
    <row r="321" spans="1:6">
      <c r="A321" t="s">
        <v>1494</v>
      </c>
      <c r="B321" t="s">
        <v>337</v>
      </c>
      <c r="C321" t="s">
        <v>557</v>
      </c>
      <c r="D321" t="s">
        <v>164</v>
      </c>
      <c r="E321" t="s">
        <v>764</v>
      </c>
      <c r="F321" t="s">
        <v>337</v>
      </c>
    </row>
    <row r="322" spans="1:6">
      <c r="A322" t="s">
        <v>1494</v>
      </c>
      <c r="B322" t="s">
        <v>337</v>
      </c>
      <c r="C322" t="s">
        <v>765</v>
      </c>
      <c r="D322" t="s">
        <v>144</v>
      </c>
      <c r="E322" t="s">
        <v>764</v>
      </c>
      <c r="F322" t="s">
        <v>337</v>
      </c>
    </row>
    <row r="323" spans="1:6">
      <c r="A323" t="s">
        <v>1494</v>
      </c>
      <c r="B323" t="s">
        <v>337</v>
      </c>
      <c r="C323" t="s">
        <v>766</v>
      </c>
      <c r="D323" t="s">
        <v>144</v>
      </c>
      <c r="E323" t="s">
        <v>764</v>
      </c>
      <c r="F323" t="s">
        <v>337</v>
      </c>
    </row>
    <row r="324" spans="1:6">
      <c r="A324" t="s">
        <v>1494</v>
      </c>
      <c r="B324" t="s">
        <v>337</v>
      </c>
      <c r="C324" t="s">
        <v>767</v>
      </c>
      <c r="D324" t="s">
        <v>144</v>
      </c>
      <c r="E324" t="s">
        <v>764</v>
      </c>
      <c r="F324" t="s">
        <v>337</v>
      </c>
    </row>
    <row r="325" spans="1:6">
      <c r="A325" t="s">
        <v>1494</v>
      </c>
      <c r="B325" t="s">
        <v>337</v>
      </c>
      <c r="C325" t="s">
        <v>768</v>
      </c>
      <c r="D325" t="s">
        <v>144</v>
      </c>
      <c r="E325" t="s">
        <v>764</v>
      </c>
      <c r="F325" t="s">
        <v>337</v>
      </c>
    </row>
    <row r="326" spans="1:6">
      <c r="A326" t="s">
        <v>1494</v>
      </c>
      <c r="B326" t="s">
        <v>158</v>
      </c>
      <c r="C326" t="s">
        <v>552</v>
      </c>
      <c r="D326" t="s">
        <v>217</v>
      </c>
      <c r="F326" t="s">
        <v>145</v>
      </c>
    </row>
    <row r="327" spans="1:6">
      <c r="A327" t="s">
        <v>1494</v>
      </c>
      <c r="B327" t="s">
        <v>158</v>
      </c>
      <c r="C327" t="s">
        <v>563</v>
      </c>
      <c r="D327" t="s">
        <v>217</v>
      </c>
      <c r="F327" t="s">
        <v>145</v>
      </c>
    </row>
    <row r="328" spans="1:6">
      <c r="A328" t="s">
        <v>1494</v>
      </c>
      <c r="B328" t="s">
        <v>158</v>
      </c>
      <c r="C328" t="s">
        <v>623</v>
      </c>
      <c r="D328" t="s">
        <v>217</v>
      </c>
      <c r="F328" t="s">
        <v>145</v>
      </c>
    </row>
    <row r="329" spans="1:6">
      <c r="A329" t="s">
        <v>1494</v>
      </c>
      <c r="B329" t="s">
        <v>158</v>
      </c>
      <c r="C329" t="s">
        <v>734</v>
      </c>
      <c r="D329" t="s">
        <v>217</v>
      </c>
      <c r="F329" t="s">
        <v>337</v>
      </c>
    </row>
    <row r="330" spans="1:6">
      <c r="A330" t="s">
        <v>1494</v>
      </c>
      <c r="B330" t="s">
        <v>158</v>
      </c>
      <c r="C330" t="s">
        <v>350</v>
      </c>
      <c r="D330" t="s">
        <v>653</v>
      </c>
      <c r="F330" t="s">
        <v>145</v>
      </c>
    </row>
    <row r="331" spans="1:6">
      <c r="A331" t="s">
        <v>1494</v>
      </c>
      <c r="B331" t="s">
        <v>158</v>
      </c>
      <c r="C331" t="s">
        <v>408</v>
      </c>
      <c r="D331" t="s">
        <v>409</v>
      </c>
      <c r="F331" t="s">
        <v>145</v>
      </c>
    </row>
    <row r="332" spans="1:6">
      <c r="A332" t="s">
        <v>1494</v>
      </c>
      <c r="B332" t="s">
        <v>158</v>
      </c>
      <c r="C332" t="s">
        <v>69</v>
      </c>
      <c r="D332" t="s">
        <v>654</v>
      </c>
      <c r="F332" t="s">
        <v>145</v>
      </c>
    </row>
    <row r="333" spans="1:6">
      <c r="A333" t="s">
        <v>1494</v>
      </c>
      <c r="B333" t="s">
        <v>158</v>
      </c>
      <c r="C333" t="s">
        <v>589</v>
      </c>
      <c r="D333" t="s">
        <v>473</v>
      </c>
      <c r="F333" t="s">
        <v>145</v>
      </c>
    </row>
    <row r="334" spans="1:6">
      <c r="A334" t="s">
        <v>1494</v>
      </c>
      <c r="B334" t="s">
        <v>158</v>
      </c>
      <c r="C334" t="s">
        <v>257</v>
      </c>
      <c r="D334" t="s">
        <v>1487</v>
      </c>
      <c r="F334" t="s">
        <v>145</v>
      </c>
    </row>
    <row r="335" spans="1:6">
      <c r="A335" t="s">
        <v>1495</v>
      </c>
      <c r="B335" t="s">
        <v>1124</v>
      </c>
      <c r="C335" t="s">
        <v>59</v>
      </c>
      <c r="D335" t="s">
        <v>164</v>
      </c>
      <c r="E335" t="s">
        <v>769</v>
      </c>
      <c r="F335" t="s">
        <v>145</v>
      </c>
    </row>
    <row r="336" spans="1:6">
      <c r="A336" t="s">
        <v>1495</v>
      </c>
      <c r="B336" t="s">
        <v>1124</v>
      </c>
      <c r="C336" t="s">
        <v>57</v>
      </c>
      <c r="D336" t="s">
        <v>144</v>
      </c>
      <c r="E336" t="s">
        <v>769</v>
      </c>
      <c r="F336" t="s">
        <v>145</v>
      </c>
    </row>
    <row r="337" spans="1:6">
      <c r="A337" t="s">
        <v>1495</v>
      </c>
      <c r="B337" t="s">
        <v>1124</v>
      </c>
      <c r="C337" t="s">
        <v>56</v>
      </c>
      <c r="D337" t="s">
        <v>144</v>
      </c>
      <c r="E337" t="s">
        <v>769</v>
      </c>
      <c r="F337" t="s">
        <v>145</v>
      </c>
    </row>
    <row r="338" spans="1:6">
      <c r="A338" t="s">
        <v>1495</v>
      </c>
      <c r="B338" t="s">
        <v>1124</v>
      </c>
      <c r="C338" t="s">
        <v>60</v>
      </c>
      <c r="D338" t="s">
        <v>144</v>
      </c>
      <c r="E338" t="s">
        <v>769</v>
      </c>
      <c r="F338" t="s">
        <v>145</v>
      </c>
    </row>
    <row r="339" spans="1:6">
      <c r="A339" t="s">
        <v>1495</v>
      </c>
      <c r="B339" t="s">
        <v>1124</v>
      </c>
      <c r="C339" t="s">
        <v>58</v>
      </c>
      <c r="D339" t="s">
        <v>144</v>
      </c>
      <c r="E339" t="s">
        <v>769</v>
      </c>
      <c r="F339" t="s">
        <v>145</v>
      </c>
    </row>
    <row r="340" spans="1:6">
      <c r="A340" t="s">
        <v>1495</v>
      </c>
      <c r="B340" t="s">
        <v>1124</v>
      </c>
      <c r="C340" t="s">
        <v>61</v>
      </c>
      <c r="D340" t="s">
        <v>144</v>
      </c>
      <c r="E340" t="s">
        <v>769</v>
      </c>
      <c r="F340" t="s">
        <v>145</v>
      </c>
    </row>
    <row r="341" spans="1:6">
      <c r="A341" t="s">
        <v>1495</v>
      </c>
      <c r="B341" t="s">
        <v>547</v>
      </c>
      <c r="C341" t="s">
        <v>716</v>
      </c>
      <c r="D341" t="s">
        <v>164</v>
      </c>
      <c r="E341" t="s">
        <v>770</v>
      </c>
      <c r="F341" t="s">
        <v>145</v>
      </c>
    </row>
    <row r="342" spans="1:6">
      <c r="A342" t="s">
        <v>1495</v>
      </c>
      <c r="B342" t="s">
        <v>547</v>
      </c>
      <c r="C342" t="s">
        <v>771</v>
      </c>
      <c r="D342" t="s">
        <v>144</v>
      </c>
      <c r="E342" t="s">
        <v>770</v>
      </c>
      <c r="F342" t="s">
        <v>145</v>
      </c>
    </row>
    <row r="343" spans="1:6">
      <c r="A343" t="s">
        <v>1495</v>
      </c>
      <c r="B343" t="s">
        <v>547</v>
      </c>
      <c r="C343" t="s">
        <v>772</v>
      </c>
      <c r="D343" t="s">
        <v>144</v>
      </c>
      <c r="E343" t="s">
        <v>770</v>
      </c>
      <c r="F343" t="s">
        <v>145</v>
      </c>
    </row>
    <row r="344" spans="1:6">
      <c r="A344" t="s">
        <v>1495</v>
      </c>
      <c r="B344" t="s">
        <v>547</v>
      </c>
      <c r="C344" t="s">
        <v>773</v>
      </c>
      <c r="D344" t="s">
        <v>144</v>
      </c>
      <c r="E344" t="s">
        <v>770</v>
      </c>
      <c r="F344" t="s">
        <v>145</v>
      </c>
    </row>
    <row r="345" spans="1:6">
      <c r="A345" t="s">
        <v>1495</v>
      </c>
      <c r="B345" t="s">
        <v>547</v>
      </c>
      <c r="C345" t="s">
        <v>774</v>
      </c>
      <c r="D345" t="s">
        <v>144</v>
      </c>
      <c r="E345" t="s">
        <v>770</v>
      </c>
      <c r="F345" t="s">
        <v>145</v>
      </c>
    </row>
    <row r="346" spans="1:6">
      <c r="A346" t="s">
        <v>1495</v>
      </c>
      <c r="B346" t="s">
        <v>384</v>
      </c>
      <c r="C346" t="s">
        <v>742</v>
      </c>
      <c r="D346" t="s">
        <v>164</v>
      </c>
      <c r="F346" t="s">
        <v>145</v>
      </c>
    </row>
    <row r="347" spans="1:6">
      <c r="A347" t="s">
        <v>1495</v>
      </c>
      <c r="B347" t="s">
        <v>384</v>
      </c>
      <c r="C347" t="s">
        <v>775</v>
      </c>
      <c r="D347" t="s">
        <v>144</v>
      </c>
      <c r="F347" t="s">
        <v>145</v>
      </c>
    </row>
    <row r="348" spans="1:6">
      <c r="A348" t="s">
        <v>1495</v>
      </c>
      <c r="B348" t="s">
        <v>384</v>
      </c>
      <c r="C348" t="s">
        <v>776</v>
      </c>
      <c r="D348" t="s">
        <v>144</v>
      </c>
      <c r="F348" t="s">
        <v>145</v>
      </c>
    </row>
    <row r="349" spans="1:6">
      <c r="A349" t="s">
        <v>1495</v>
      </c>
      <c r="B349" t="s">
        <v>384</v>
      </c>
      <c r="C349" t="s">
        <v>777</v>
      </c>
      <c r="D349" t="s">
        <v>144</v>
      </c>
      <c r="F349" t="s">
        <v>145</v>
      </c>
    </row>
    <row r="350" spans="1:6">
      <c r="A350" t="s">
        <v>1495</v>
      </c>
      <c r="B350" t="s">
        <v>384</v>
      </c>
      <c r="C350" t="s">
        <v>778</v>
      </c>
      <c r="D350" t="s">
        <v>144</v>
      </c>
      <c r="F350" t="s">
        <v>145</v>
      </c>
    </row>
    <row r="351" spans="1:6">
      <c r="A351" t="s">
        <v>1495</v>
      </c>
      <c r="B351" t="s">
        <v>1492</v>
      </c>
      <c r="C351" t="s">
        <v>623</v>
      </c>
      <c r="D351" t="s">
        <v>164</v>
      </c>
      <c r="E351" t="s">
        <v>701</v>
      </c>
      <c r="F351" t="s">
        <v>145</v>
      </c>
    </row>
    <row r="352" spans="1:6">
      <c r="A352" t="s">
        <v>1495</v>
      </c>
      <c r="B352" t="s">
        <v>1492</v>
      </c>
      <c r="C352" t="s">
        <v>779</v>
      </c>
      <c r="D352" t="s">
        <v>144</v>
      </c>
      <c r="E352" t="s">
        <v>701</v>
      </c>
      <c r="F352" t="s">
        <v>145</v>
      </c>
    </row>
    <row r="353" spans="1:6">
      <c r="A353" t="s">
        <v>1495</v>
      </c>
      <c r="B353" t="s">
        <v>1492</v>
      </c>
      <c r="C353" t="s">
        <v>780</v>
      </c>
      <c r="D353" t="s">
        <v>144</v>
      </c>
      <c r="E353" t="s">
        <v>701</v>
      </c>
      <c r="F353" t="s">
        <v>145</v>
      </c>
    </row>
    <row r="354" spans="1:6">
      <c r="A354" t="s">
        <v>1495</v>
      </c>
      <c r="B354" t="s">
        <v>1492</v>
      </c>
      <c r="C354" t="s">
        <v>781</v>
      </c>
      <c r="D354" t="s">
        <v>144</v>
      </c>
      <c r="E354" t="s">
        <v>701</v>
      </c>
      <c r="F354" t="s">
        <v>145</v>
      </c>
    </row>
    <row r="355" spans="1:6">
      <c r="A355" t="s">
        <v>1495</v>
      </c>
      <c r="B355" t="s">
        <v>535</v>
      </c>
      <c r="C355" t="s">
        <v>666</v>
      </c>
      <c r="D355" t="s">
        <v>164</v>
      </c>
      <c r="E355" t="s">
        <v>782</v>
      </c>
      <c r="F355" t="s">
        <v>145</v>
      </c>
    </row>
    <row r="356" spans="1:6">
      <c r="A356" t="s">
        <v>1495</v>
      </c>
      <c r="B356" t="s">
        <v>535</v>
      </c>
      <c r="C356" t="s">
        <v>783</v>
      </c>
      <c r="D356" t="s">
        <v>144</v>
      </c>
      <c r="E356" t="s">
        <v>782</v>
      </c>
      <c r="F356" t="s">
        <v>145</v>
      </c>
    </row>
    <row r="357" spans="1:6">
      <c r="A357" t="s">
        <v>1495</v>
      </c>
      <c r="B357" t="s">
        <v>535</v>
      </c>
      <c r="C357" t="s">
        <v>784</v>
      </c>
      <c r="D357" t="s">
        <v>144</v>
      </c>
      <c r="E357" t="s">
        <v>782</v>
      </c>
      <c r="F357" t="s">
        <v>145</v>
      </c>
    </row>
    <row r="358" spans="1:6">
      <c r="A358" t="s">
        <v>1495</v>
      </c>
      <c r="B358" t="s">
        <v>535</v>
      </c>
      <c r="C358" t="s">
        <v>785</v>
      </c>
      <c r="D358" t="s">
        <v>144</v>
      </c>
      <c r="E358" t="s">
        <v>782</v>
      </c>
      <c r="F358" t="s">
        <v>145</v>
      </c>
    </row>
    <row r="359" spans="1:6">
      <c r="A359" t="s">
        <v>1495</v>
      </c>
      <c r="B359" t="s">
        <v>535</v>
      </c>
      <c r="C359" t="s">
        <v>786</v>
      </c>
      <c r="D359" t="s">
        <v>144</v>
      </c>
      <c r="E359" t="s">
        <v>782</v>
      </c>
      <c r="F359" t="s">
        <v>145</v>
      </c>
    </row>
    <row r="360" spans="1:6">
      <c r="A360" t="s">
        <v>1495</v>
      </c>
      <c r="B360" t="s">
        <v>542</v>
      </c>
      <c r="C360" t="s">
        <v>752</v>
      </c>
      <c r="D360" t="s">
        <v>164</v>
      </c>
      <c r="E360" t="s">
        <v>782</v>
      </c>
      <c r="F360" t="s">
        <v>145</v>
      </c>
    </row>
    <row r="361" spans="1:6">
      <c r="A361" t="s">
        <v>1495</v>
      </c>
      <c r="B361" t="s">
        <v>542</v>
      </c>
      <c r="C361" t="s">
        <v>787</v>
      </c>
      <c r="D361" t="s">
        <v>144</v>
      </c>
      <c r="E361" t="s">
        <v>782</v>
      </c>
      <c r="F361" t="s">
        <v>145</v>
      </c>
    </row>
    <row r="362" spans="1:6">
      <c r="A362" t="s">
        <v>1495</v>
      </c>
      <c r="B362" t="s">
        <v>542</v>
      </c>
      <c r="C362" t="s">
        <v>788</v>
      </c>
      <c r="D362" t="s">
        <v>144</v>
      </c>
      <c r="E362" t="s">
        <v>782</v>
      </c>
      <c r="F362" t="s">
        <v>145</v>
      </c>
    </row>
    <row r="363" spans="1:6">
      <c r="A363" t="s">
        <v>1495</v>
      </c>
      <c r="B363" t="s">
        <v>542</v>
      </c>
      <c r="C363" t="s">
        <v>789</v>
      </c>
      <c r="D363" t="s">
        <v>144</v>
      </c>
      <c r="E363" t="s">
        <v>782</v>
      </c>
      <c r="F363" t="s">
        <v>145</v>
      </c>
    </row>
    <row r="364" spans="1:6">
      <c r="A364" t="s">
        <v>1495</v>
      </c>
      <c r="B364" t="s">
        <v>542</v>
      </c>
      <c r="C364" t="s">
        <v>790</v>
      </c>
      <c r="D364" t="s">
        <v>144</v>
      </c>
      <c r="E364" t="s">
        <v>782</v>
      </c>
      <c r="F364" t="s">
        <v>145</v>
      </c>
    </row>
    <row r="365" spans="1:6">
      <c r="A365" t="s">
        <v>1495</v>
      </c>
      <c r="B365" t="s">
        <v>647</v>
      </c>
      <c r="C365" t="s">
        <v>760</v>
      </c>
      <c r="D365" t="s">
        <v>164</v>
      </c>
      <c r="E365" t="s">
        <v>791</v>
      </c>
      <c r="F365" t="s">
        <v>647</v>
      </c>
    </row>
    <row r="366" spans="1:6">
      <c r="A366" t="s">
        <v>1495</v>
      </c>
      <c r="B366" t="s">
        <v>647</v>
      </c>
      <c r="C366" t="s">
        <v>792</v>
      </c>
      <c r="D366" t="s">
        <v>144</v>
      </c>
      <c r="E366" t="s">
        <v>791</v>
      </c>
      <c r="F366" t="s">
        <v>647</v>
      </c>
    </row>
    <row r="367" spans="1:6">
      <c r="A367" t="s">
        <v>1495</v>
      </c>
      <c r="B367" t="s">
        <v>647</v>
      </c>
      <c r="C367" t="s">
        <v>793</v>
      </c>
      <c r="D367" t="s">
        <v>144</v>
      </c>
      <c r="E367" t="s">
        <v>791</v>
      </c>
      <c r="F367" t="s">
        <v>647</v>
      </c>
    </row>
    <row r="368" spans="1:6">
      <c r="A368" t="s">
        <v>1495</v>
      </c>
      <c r="B368" t="s">
        <v>647</v>
      </c>
      <c r="C368" t="s">
        <v>794</v>
      </c>
      <c r="D368" t="s">
        <v>144</v>
      </c>
      <c r="E368" t="s">
        <v>791</v>
      </c>
      <c r="F368" t="s">
        <v>647</v>
      </c>
    </row>
    <row r="369" spans="1:6">
      <c r="A369" t="s">
        <v>1495</v>
      </c>
      <c r="B369" t="s">
        <v>337</v>
      </c>
      <c r="C369" t="s">
        <v>795</v>
      </c>
      <c r="D369" t="s">
        <v>164</v>
      </c>
      <c r="E369" t="s">
        <v>796</v>
      </c>
      <c r="F369" t="s">
        <v>337</v>
      </c>
    </row>
    <row r="370" spans="1:6">
      <c r="A370" t="s">
        <v>1495</v>
      </c>
      <c r="B370" t="s">
        <v>337</v>
      </c>
      <c r="C370" t="s">
        <v>797</v>
      </c>
      <c r="D370" t="s">
        <v>144</v>
      </c>
      <c r="E370" t="s">
        <v>796</v>
      </c>
      <c r="F370" t="s">
        <v>337</v>
      </c>
    </row>
    <row r="371" spans="1:6">
      <c r="A371" t="s">
        <v>1495</v>
      </c>
      <c r="B371" t="s">
        <v>337</v>
      </c>
      <c r="C371" t="s">
        <v>798</v>
      </c>
      <c r="D371" t="s">
        <v>144</v>
      </c>
      <c r="E371" t="s">
        <v>796</v>
      </c>
      <c r="F371" t="s">
        <v>337</v>
      </c>
    </row>
    <row r="372" spans="1:6">
      <c r="A372" t="s">
        <v>1495</v>
      </c>
      <c r="B372" t="s">
        <v>337</v>
      </c>
      <c r="C372" t="s">
        <v>799</v>
      </c>
      <c r="D372" t="s">
        <v>144</v>
      </c>
      <c r="E372" t="s">
        <v>796</v>
      </c>
      <c r="F372" t="s">
        <v>337</v>
      </c>
    </row>
    <row r="373" spans="1:6">
      <c r="A373" t="s">
        <v>1495</v>
      </c>
      <c r="B373" t="s">
        <v>337</v>
      </c>
      <c r="C373" t="s">
        <v>800</v>
      </c>
      <c r="D373" t="s">
        <v>144</v>
      </c>
      <c r="E373" t="s">
        <v>796</v>
      </c>
      <c r="F373" t="s">
        <v>337</v>
      </c>
    </row>
    <row r="374" spans="1:6">
      <c r="A374" t="s">
        <v>1495</v>
      </c>
      <c r="B374" t="s">
        <v>158</v>
      </c>
      <c r="C374" t="s">
        <v>563</v>
      </c>
      <c r="D374" t="s">
        <v>217</v>
      </c>
      <c r="F374" t="s">
        <v>145</v>
      </c>
    </row>
    <row r="375" spans="1:6">
      <c r="A375" t="s">
        <v>1495</v>
      </c>
      <c r="B375" t="s">
        <v>158</v>
      </c>
      <c r="C375" t="s">
        <v>623</v>
      </c>
      <c r="D375" t="s">
        <v>217</v>
      </c>
      <c r="F375" t="s">
        <v>145</v>
      </c>
    </row>
    <row r="376" spans="1:6">
      <c r="A376" t="s">
        <v>1495</v>
      </c>
      <c r="B376" t="s">
        <v>158</v>
      </c>
      <c r="C376" t="s">
        <v>734</v>
      </c>
      <c r="D376" t="s">
        <v>473</v>
      </c>
      <c r="F376" t="s">
        <v>145</v>
      </c>
    </row>
    <row r="377" spans="1:6">
      <c r="A377" t="s">
        <v>1495</v>
      </c>
      <c r="B377" t="s">
        <v>158</v>
      </c>
      <c r="C377" t="s">
        <v>350</v>
      </c>
      <c r="D377" t="s">
        <v>653</v>
      </c>
      <c r="F377" t="s">
        <v>145</v>
      </c>
    </row>
    <row r="378" spans="1:6">
      <c r="A378" t="s">
        <v>1495</v>
      </c>
      <c r="B378" t="s">
        <v>158</v>
      </c>
      <c r="C378" t="s">
        <v>408</v>
      </c>
      <c r="D378" t="s">
        <v>409</v>
      </c>
      <c r="F378" t="s">
        <v>145</v>
      </c>
    </row>
    <row r="379" spans="1:6">
      <c r="A379" t="s">
        <v>1495</v>
      </c>
      <c r="B379" t="s">
        <v>158</v>
      </c>
      <c r="C379" t="s">
        <v>69</v>
      </c>
      <c r="D379" t="s">
        <v>654</v>
      </c>
      <c r="F379" t="s">
        <v>145</v>
      </c>
    </row>
    <row r="380" spans="1:6">
      <c r="A380" t="s">
        <v>1495</v>
      </c>
      <c r="B380" t="s">
        <v>158</v>
      </c>
      <c r="C380" t="s">
        <v>257</v>
      </c>
      <c r="D380" t="s">
        <v>160</v>
      </c>
      <c r="F380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4B0E-295A-4AFC-B549-EF22480B68FB}">
  <dimension ref="A1:H501"/>
  <sheetViews>
    <sheetView workbookViewId="0">
      <selection activeCell="A2" sqref="A2"/>
    </sheetView>
  </sheetViews>
  <sheetFormatPr defaultColWidth="8.85546875" defaultRowHeight="15"/>
  <cols>
    <col min="1" max="1" width="11.28515625" bestFit="1" customWidth="1"/>
    <col min="3" max="3" width="19.28515625" bestFit="1" customWidth="1"/>
    <col min="4" max="4" width="19" bestFit="1" customWidth="1"/>
  </cols>
  <sheetData>
    <row r="1" spans="1:6">
      <c r="A1" s="1" t="s">
        <v>11</v>
      </c>
      <c r="B1" s="1" t="s">
        <v>9</v>
      </c>
      <c r="C1" s="1" t="s">
        <v>12</v>
      </c>
      <c r="D1" s="1" t="s">
        <v>138</v>
      </c>
      <c r="E1" s="1" t="s">
        <v>139</v>
      </c>
      <c r="F1" s="1" t="s">
        <v>140</v>
      </c>
    </row>
    <row r="2" spans="1:6">
      <c r="A2" t="s">
        <v>1496</v>
      </c>
      <c r="B2" t="s">
        <v>142</v>
      </c>
      <c r="C2" t="s">
        <v>143</v>
      </c>
      <c r="D2" t="s">
        <v>144</v>
      </c>
      <c r="F2" t="s">
        <v>145</v>
      </c>
    </row>
    <row r="3" spans="1:6">
      <c r="A3" t="s">
        <v>1496</v>
      </c>
      <c r="B3" t="s">
        <v>142</v>
      </c>
      <c r="C3" t="s">
        <v>146</v>
      </c>
      <c r="D3" t="s">
        <v>144</v>
      </c>
      <c r="F3" t="s">
        <v>145</v>
      </c>
    </row>
    <row r="4" spans="1:6">
      <c r="A4" t="s">
        <v>1496</v>
      </c>
      <c r="B4" t="s">
        <v>142</v>
      </c>
      <c r="C4" t="s">
        <v>147</v>
      </c>
      <c r="D4" t="s">
        <v>144</v>
      </c>
      <c r="F4" t="s">
        <v>145</v>
      </c>
    </row>
    <row r="5" spans="1:6">
      <c r="A5" t="s">
        <v>1496</v>
      </c>
      <c r="B5" t="s">
        <v>142</v>
      </c>
      <c r="C5" t="s">
        <v>148</v>
      </c>
      <c r="D5" t="s">
        <v>144</v>
      </c>
      <c r="F5" t="s">
        <v>145</v>
      </c>
    </row>
    <row r="6" spans="1:6">
      <c r="A6" t="s">
        <v>1496</v>
      </c>
      <c r="B6" t="s">
        <v>149</v>
      </c>
      <c r="C6" t="s">
        <v>150</v>
      </c>
      <c r="D6" t="s">
        <v>144</v>
      </c>
      <c r="F6" t="s">
        <v>145</v>
      </c>
    </row>
    <row r="7" spans="1:6">
      <c r="A7" t="s">
        <v>1496</v>
      </c>
      <c r="B7" t="s">
        <v>149</v>
      </c>
      <c r="C7" t="s">
        <v>151</v>
      </c>
      <c r="D7" t="s">
        <v>144</v>
      </c>
      <c r="F7" t="s">
        <v>145</v>
      </c>
    </row>
    <row r="8" spans="1:6">
      <c r="A8" t="s">
        <v>1496</v>
      </c>
      <c r="B8" t="s">
        <v>149</v>
      </c>
      <c r="C8" t="s">
        <v>152</v>
      </c>
      <c r="D8" t="s">
        <v>144</v>
      </c>
      <c r="F8" t="s">
        <v>145</v>
      </c>
    </row>
    <row r="9" spans="1:6">
      <c r="A9" t="s">
        <v>1496</v>
      </c>
      <c r="B9" t="s">
        <v>153</v>
      </c>
      <c r="C9" t="s">
        <v>154</v>
      </c>
      <c r="D9" t="s">
        <v>144</v>
      </c>
      <c r="F9" t="s">
        <v>145</v>
      </c>
    </row>
    <row r="10" spans="1:6">
      <c r="A10" t="s">
        <v>1496</v>
      </c>
      <c r="B10" t="s">
        <v>153</v>
      </c>
      <c r="C10" t="s">
        <v>155</v>
      </c>
      <c r="D10" t="s">
        <v>144</v>
      </c>
      <c r="F10" t="s">
        <v>145</v>
      </c>
    </row>
    <row r="11" spans="1:6">
      <c r="A11" t="s">
        <v>1496</v>
      </c>
      <c r="B11" t="s">
        <v>153</v>
      </c>
      <c r="C11" t="s">
        <v>156</v>
      </c>
      <c r="D11" t="s">
        <v>144</v>
      </c>
      <c r="F11" t="s">
        <v>145</v>
      </c>
    </row>
    <row r="12" spans="1:6">
      <c r="A12" t="s">
        <v>1496</v>
      </c>
      <c r="B12" t="s">
        <v>153</v>
      </c>
      <c r="C12" t="s">
        <v>157</v>
      </c>
      <c r="D12" t="s">
        <v>144</v>
      </c>
      <c r="F12" t="s">
        <v>145</v>
      </c>
    </row>
    <row r="13" spans="1:6">
      <c r="A13" t="s">
        <v>1496</v>
      </c>
      <c r="B13" t="s">
        <v>158</v>
      </c>
      <c r="C13" t="s">
        <v>159</v>
      </c>
      <c r="D13" t="s">
        <v>160</v>
      </c>
      <c r="F13" t="s">
        <v>145</v>
      </c>
    </row>
    <row r="14" spans="1:6">
      <c r="A14" t="s">
        <v>1496</v>
      </c>
      <c r="B14" t="s">
        <v>158</v>
      </c>
      <c r="C14" t="s">
        <v>161</v>
      </c>
      <c r="D14" t="s">
        <v>1497</v>
      </c>
      <c r="F14" t="s">
        <v>145</v>
      </c>
    </row>
    <row r="15" spans="1:6">
      <c r="A15" t="s">
        <v>1498</v>
      </c>
      <c r="B15" t="s">
        <v>142</v>
      </c>
      <c r="C15" t="s">
        <v>148</v>
      </c>
      <c r="D15" t="s">
        <v>164</v>
      </c>
      <c r="F15" t="s">
        <v>145</v>
      </c>
    </row>
    <row r="16" spans="1:6">
      <c r="A16" t="s">
        <v>1498</v>
      </c>
      <c r="B16" t="s">
        <v>142</v>
      </c>
      <c r="C16" t="s">
        <v>150</v>
      </c>
      <c r="D16" t="s">
        <v>164</v>
      </c>
      <c r="F16" t="s">
        <v>145</v>
      </c>
    </row>
    <row r="17" spans="1:6">
      <c r="A17" t="s">
        <v>1498</v>
      </c>
      <c r="B17" t="s">
        <v>149</v>
      </c>
      <c r="C17" t="s">
        <v>151</v>
      </c>
      <c r="D17" t="s">
        <v>164</v>
      </c>
      <c r="F17" t="s">
        <v>145</v>
      </c>
    </row>
    <row r="18" spans="1:6">
      <c r="A18" t="s">
        <v>1498</v>
      </c>
      <c r="B18" t="s">
        <v>142</v>
      </c>
      <c r="C18" t="s">
        <v>165</v>
      </c>
      <c r="D18" t="s">
        <v>144</v>
      </c>
      <c r="F18" t="s">
        <v>145</v>
      </c>
    </row>
    <row r="19" spans="1:6">
      <c r="A19" t="s">
        <v>1498</v>
      </c>
      <c r="B19" t="s">
        <v>142</v>
      </c>
      <c r="C19" t="s">
        <v>166</v>
      </c>
      <c r="D19" t="s">
        <v>144</v>
      </c>
      <c r="F19" t="s">
        <v>145</v>
      </c>
    </row>
    <row r="20" spans="1:6">
      <c r="A20" t="s">
        <v>1498</v>
      </c>
      <c r="B20" t="s">
        <v>142</v>
      </c>
      <c r="C20" t="s">
        <v>167</v>
      </c>
      <c r="D20" t="s">
        <v>144</v>
      </c>
      <c r="F20" t="s">
        <v>145</v>
      </c>
    </row>
    <row r="21" spans="1:6">
      <c r="A21" t="s">
        <v>1498</v>
      </c>
      <c r="B21" t="s">
        <v>149</v>
      </c>
      <c r="C21" t="s">
        <v>152</v>
      </c>
      <c r="D21" t="s">
        <v>164</v>
      </c>
      <c r="F21" t="s">
        <v>145</v>
      </c>
    </row>
    <row r="22" spans="1:6">
      <c r="A22" t="s">
        <v>1498</v>
      </c>
      <c r="B22" t="s">
        <v>149</v>
      </c>
      <c r="C22" t="s">
        <v>168</v>
      </c>
      <c r="D22" t="s">
        <v>144</v>
      </c>
      <c r="F22" t="s">
        <v>145</v>
      </c>
    </row>
    <row r="23" spans="1:6">
      <c r="A23" t="s">
        <v>1498</v>
      </c>
      <c r="B23" t="s">
        <v>149</v>
      </c>
      <c r="C23" t="s">
        <v>169</v>
      </c>
      <c r="D23" t="s">
        <v>144</v>
      </c>
      <c r="F23" t="s">
        <v>145</v>
      </c>
    </row>
    <row r="24" spans="1:6">
      <c r="A24" t="s">
        <v>1498</v>
      </c>
      <c r="B24" t="s">
        <v>149</v>
      </c>
      <c r="C24" t="s">
        <v>170</v>
      </c>
      <c r="D24" t="s">
        <v>144</v>
      </c>
      <c r="F24" t="s">
        <v>145</v>
      </c>
    </row>
    <row r="25" spans="1:6">
      <c r="A25" t="s">
        <v>1498</v>
      </c>
      <c r="B25" t="s">
        <v>149</v>
      </c>
      <c r="C25" t="s">
        <v>171</v>
      </c>
      <c r="D25" t="s">
        <v>144</v>
      </c>
      <c r="F25" t="s">
        <v>145</v>
      </c>
    </row>
    <row r="26" spans="1:6">
      <c r="A26" t="s">
        <v>1498</v>
      </c>
      <c r="B26" t="s">
        <v>153</v>
      </c>
      <c r="C26" t="s">
        <v>156</v>
      </c>
      <c r="D26" t="s">
        <v>164</v>
      </c>
      <c r="F26" t="s">
        <v>145</v>
      </c>
    </row>
    <row r="27" spans="1:6">
      <c r="A27" t="s">
        <v>1498</v>
      </c>
      <c r="B27" t="s">
        <v>153</v>
      </c>
      <c r="C27" t="s">
        <v>172</v>
      </c>
      <c r="D27" t="s">
        <v>144</v>
      </c>
      <c r="F27" t="s">
        <v>145</v>
      </c>
    </row>
    <row r="28" spans="1:6">
      <c r="A28" t="s">
        <v>1498</v>
      </c>
      <c r="B28" t="s">
        <v>153</v>
      </c>
      <c r="C28" t="s">
        <v>173</v>
      </c>
      <c r="D28" t="s">
        <v>144</v>
      </c>
      <c r="F28" t="s">
        <v>145</v>
      </c>
    </row>
    <row r="29" spans="1:6">
      <c r="A29" t="s">
        <v>1498</v>
      </c>
      <c r="B29" t="s">
        <v>153</v>
      </c>
      <c r="C29" t="s">
        <v>174</v>
      </c>
      <c r="D29" t="s">
        <v>144</v>
      </c>
      <c r="F29" t="s">
        <v>145</v>
      </c>
    </row>
    <row r="30" spans="1:6">
      <c r="A30" t="s">
        <v>1498</v>
      </c>
      <c r="B30" t="s">
        <v>153</v>
      </c>
      <c r="C30" t="s">
        <v>175</v>
      </c>
      <c r="D30" t="s">
        <v>144</v>
      </c>
      <c r="F30" t="s">
        <v>145</v>
      </c>
    </row>
    <row r="31" spans="1:6">
      <c r="A31" t="s">
        <v>1498</v>
      </c>
      <c r="B31" t="s">
        <v>158</v>
      </c>
      <c r="C31" t="s">
        <v>159</v>
      </c>
      <c r="D31" t="s">
        <v>160</v>
      </c>
      <c r="F31" t="s">
        <v>145</v>
      </c>
    </row>
    <row r="32" spans="1:6">
      <c r="A32" t="s">
        <v>1498</v>
      </c>
      <c r="B32" t="s">
        <v>158</v>
      </c>
      <c r="C32" t="s">
        <v>161</v>
      </c>
      <c r="D32" t="s">
        <v>1497</v>
      </c>
      <c r="F32" t="s">
        <v>145</v>
      </c>
    </row>
    <row r="33" spans="1:6">
      <c r="A33" t="s">
        <v>1499</v>
      </c>
      <c r="B33" t="s">
        <v>142</v>
      </c>
      <c r="C33" t="s">
        <v>170</v>
      </c>
      <c r="D33" t="s">
        <v>164</v>
      </c>
      <c r="F33" t="s">
        <v>145</v>
      </c>
    </row>
    <row r="34" spans="1:6">
      <c r="A34" t="s">
        <v>1499</v>
      </c>
      <c r="B34" t="s">
        <v>142</v>
      </c>
      <c r="C34" t="s">
        <v>177</v>
      </c>
      <c r="D34" t="s">
        <v>144</v>
      </c>
      <c r="F34" t="s">
        <v>145</v>
      </c>
    </row>
    <row r="35" spans="1:6">
      <c r="A35" t="s">
        <v>1499</v>
      </c>
      <c r="B35" t="s">
        <v>142</v>
      </c>
      <c r="C35" t="s">
        <v>178</v>
      </c>
      <c r="D35" t="s">
        <v>144</v>
      </c>
      <c r="F35" t="s">
        <v>145</v>
      </c>
    </row>
    <row r="36" spans="1:6">
      <c r="A36" t="s">
        <v>1499</v>
      </c>
      <c r="B36" t="s">
        <v>142</v>
      </c>
      <c r="C36" t="s">
        <v>179</v>
      </c>
      <c r="D36" t="s">
        <v>144</v>
      </c>
      <c r="F36" t="s">
        <v>145</v>
      </c>
    </row>
    <row r="37" spans="1:6">
      <c r="A37" t="s">
        <v>1499</v>
      </c>
      <c r="B37" t="s">
        <v>142</v>
      </c>
      <c r="C37" t="s">
        <v>180</v>
      </c>
      <c r="D37" t="s">
        <v>144</v>
      </c>
      <c r="F37" t="s">
        <v>145</v>
      </c>
    </row>
    <row r="38" spans="1:6">
      <c r="A38" t="s">
        <v>1499</v>
      </c>
      <c r="B38" t="s">
        <v>142</v>
      </c>
      <c r="C38" t="s">
        <v>181</v>
      </c>
      <c r="D38" t="s">
        <v>144</v>
      </c>
      <c r="F38" t="s">
        <v>145</v>
      </c>
    </row>
    <row r="39" spans="1:6">
      <c r="A39" t="s">
        <v>1499</v>
      </c>
      <c r="B39" t="s">
        <v>149</v>
      </c>
      <c r="C39" t="s">
        <v>172</v>
      </c>
      <c r="D39" t="s">
        <v>164</v>
      </c>
      <c r="F39" t="s">
        <v>145</v>
      </c>
    </row>
    <row r="40" spans="1:6">
      <c r="A40" t="s">
        <v>1499</v>
      </c>
      <c r="B40" t="s">
        <v>149</v>
      </c>
      <c r="C40" t="s">
        <v>182</v>
      </c>
      <c r="D40" t="s">
        <v>144</v>
      </c>
      <c r="F40" t="s">
        <v>145</v>
      </c>
    </row>
    <row r="41" spans="1:6">
      <c r="A41" t="s">
        <v>1499</v>
      </c>
      <c r="B41" t="s">
        <v>149</v>
      </c>
      <c r="C41" t="s">
        <v>183</v>
      </c>
      <c r="D41" t="s">
        <v>144</v>
      </c>
      <c r="F41" t="s">
        <v>145</v>
      </c>
    </row>
    <row r="42" spans="1:6">
      <c r="A42" t="s">
        <v>1499</v>
      </c>
      <c r="B42" t="s">
        <v>149</v>
      </c>
      <c r="C42" t="s">
        <v>184</v>
      </c>
      <c r="D42" t="s">
        <v>144</v>
      </c>
      <c r="F42" t="s">
        <v>145</v>
      </c>
    </row>
    <row r="43" spans="1:6">
      <c r="A43" t="s">
        <v>1499</v>
      </c>
      <c r="B43" t="s">
        <v>149</v>
      </c>
      <c r="C43" t="s">
        <v>185</v>
      </c>
      <c r="D43" t="s">
        <v>144</v>
      </c>
      <c r="F43" t="s">
        <v>145</v>
      </c>
    </row>
    <row r="44" spans="1:6">
      <c r="A44" t="s">
        <v>1499</v>
      </c>
      <c r="B44" t="s">
        <v>153</v>
      </c>
      <c r="C44" t="s">
        <v>174</v>
      </c>
      <c r="D44" t="s">
        <v>164</v>
      </c>
      <c r="F44" t="s">
        <v>145</v>
      </c>
    </row>
    <row r="45" spans="1:6">
      <c r="A45" t="s">
        <v>1499</v>
      </c>
      <c r="B45" t="s">
        <v>153</v>
      </c>
      <c r="C45" t="s">
        <v>186</v>
      </c>
      <c r="D45" t="s">
        <v>144</v>
      </c>
      <c r="F45" t="s">
        <v>145</v>
      </c>
    </row>
    <row r="46" spans="1:6">
      <c r="A46" t="s">
        <v>1499</v>
      </c>
      <c r="B46" t="s">
        <v>153</v>
      </c>
      <c r="C46" t="s">
        <v>187</v>
      </c>
      <c r="D46" t="s">
        <v>144</v>
      </c>
      <c r="F46" t="s">
        <v>145</v>
      </c>
    </row>
    <row r="47" spans="1:6">
      <c r="A47" t="s">
        <v>1499</v>
      </c>
      <c r="B47" t="s">
        <v>153</v>
      </c>
      <c r="C47" t="s">
        <v>188</v>
      </c>
      <c r="D47" t="s">
        <v>144</v>
      </c>
      <c r="F47" t="s">
        <v>145</v>
      </c>
    </row>
    <row r="48" spans="1:6">
      <c r="A48" t="s">
        <v>1499</v>
      </c>
      <c r="B48" t="s">
        <v>153</v>
      </c>
      <c r="C48" t="s">
        <v>189</v>
      </c>
      <c r="D48" t="s">
        <v>144</v>
      </c>
      <c r="F48" t="s">
        <v>145</v>
      </c>
    </row>
    <row r="49" spans="1:6">
      <c r="A49" t="s">
        <v>1499</v>
      </c>
      <c r="B49" t="s">
        <v>153</v>
      </c>
      <c r="C49" t="s">
        <v>190</v>
      </c>
      <c r="D49" t="s">
        <v>144</v>
      </c>
      <c r="F49" t="s">
        <v>145</v>
      </c>
    </row>
    <row r="50" spans="1:6">
      <c r="A50" t="s">
        <v>1499</v>
      </c>
      <c r="B50" t="s">
        <v>158</v>
      </c>
      <c r="C50" t="s">
        <v>159</v>
      </c>
      <c r="D50" t="s">
        <v>160</v>
      </c>
      <c r="F50" t="s">
        <v>145</v>
      </c>
    </row>
    <row r="51" spans="1:6">
      <c r="A51" t="s">
        <v>1500</v>
      </c>
      <c r="B51" t="s">
        <v>142</v>
      </c>
      <c r="C51" t="s">
        <v>177</v>
      </c>
      <c r="D51" t="s">
        <v>164</v>
      </c>
      <c r="F51" t="s">
        <v>145</v>
      </c>
    </row>
    <row r="52" spans="1:6">
      <c r="A52" t="s">
        <v>1500</v>
      </c>
      <c r="B52" t="s">
        <v>142</v>
      </c>
      <c r="C52" t="s">
        <v>192</v>
      </c>
      <c r="D52" t="s">
        <v>144</v>
      </c>
      <c r="F52" t="s">
        <v>145</v>
      </c>
    </row>
    <row r="53" spans="1:6">
      <c r="A53" t="s">
        <v>1500</v>
      </c>
      <c r="B53" t="s">
        <v>142</v>
      </c>
      <c r="C53" t="s">
        <v>193</v>
      </c>
      <c r="D53" t="s">
        <v>144</v>
      </c>
      <c r="F53" t="s">
        <v>145</v>
      </c>
    </row>
    <row r="54" spans="1:6">
      <c r="A54" t="s">
        <v>1500</v>
      </c>
      <c r="B54" t="s">
        <v>142</v>
      </c>
      <c r="C54" t="s">
        <v>194</v>
      </c>
      <c r="D54" t="s">
        <v>144</v>
      </c>
      <c r="F54" t="s">
        <v>145</v>
      </c>
    </row>
    <row r="55" spans="1:6">
      <c r="A55" t="s">
        <v>1500</v>
      </c>
      <c r="B55" t="s">
        <v>142</v>
      </c>
      <c r="C55" t="s">
        <v>195</v>
      </c>
      <c r="D55" t="s">
        <v>144</v>
      </c>
      <c r="F55" t="s">
        <v>145</v>
      </c>
    </row>
    <row r="56" spans="1:6">
      <c r="A56" t="s">
        <v>1500</v>
      </c>
      <c r="B56" t="s">
        <v>149</v>
      </c>
      <c r="C56" t="s">
        <v>181</v>
      </c>
      <c r="D56" t="s">
        <v>164</v>
      </c>
      <c r="F56" t="s">
        <v>145</v>
      </c>
    </row>
    <row r="57" spans="1:6">
      <c r="A57" t="s">
        <v>1500</v>
      </c>
      <c r="B57" t="s">
        <v>149</v>
      </c>
      <c r="C57" t="s">
        <v>196</v>
      </c>
      <c r="D57" t="s">
        <v>144</v>
      </c>
      <c r="F57" t="s">
        <v>145</v>
      </c>
    </row>
    <row r="58" spans="1:6">
      <c r="A58" t="s">
        <v>1500</v>
      </c>
      <c r="B58" t="s">
        <v>149</v>
      </c>
      <c r="C58" t="s">
        <v>197</v>
      </c>
      <c r="D58" t="s">
        <v>144</v>
      </c>
      <c r="F58" t="s">
        <v>145</v>
      </c>
    </row>
    <row r="59" spans="1:6">
      <c r="A59" t="s">
        <v>1500</v>
      </c>
      <c r="B59" t="s">
        <v>149</v>
      </c>
      <c r="C59" t="s">
        <v>198</v>
      </c>
      <c r="D59" t="s">
        <v>144</v>
      </c>
      <c r="F59" t="s">
        <v>145</v>
      </c>
    </row>
    <row r="60" spans="1:6">
      <c r="A60" t="s">
        <v>1500</v>
      </c>
      <c r="B60" t="s">
        <v>149</v>
      </c>
      <c r="C60" t="s">
        <v>199</v>
      </c>
      <c r="D60" t="s">
        <v>144</v>
      </c>
      <c r="F60" t="s">
        <v>145</v>
      </c>
    </row>
    <row r="61" spans="1:6">
      <c r="A61" t="s">
        <v>1500</v>
      </c>
      <c r="B61" t="s">
        <v>149</v>
      </c>
      <c r="C61" t="s">
        <v>200</v>
      </c>
      <c r="D61" t="s">
        <v>144</v>
      </c>
      <c r="F61" t="s">
        <v>145</v>
      </c>
    </row>
    <row r="62" spans="1:6">
      <c r="A62" t="s">
        <v>1500</v>
      </c>
      <c r="B62" t="s">
        <v>153</v>
      </c>
      <c r="C62" t="s">
        <v>190</v>
      </c>
      <c r="D62" t="s">
        <v>164</v>
      </c>
      <c r="F62" t="s">
        <v>145</v>
      </c>
    </row>
    <row r="63" spans="1:6">
      <c r="A63" t="s">
        <v>1500</v>
      </c>
      <c r="B63" t="s">
        <v>153</v>
      </c>
      <c r="C63" t="s">
        <v>201</v>
      </c>
      <c r="D63" t="s">
        <v>144</v>
      </c>
      <c r="F63" t="s">
        <v>145</v>
      </c>
    </row>
    <row r="64" spans="1:6">
      <c r="A64" t="s">
        <v>1500</v>
      </c>
      <c r="B64" t="s">
        <v>153</v>
      </c>
      <c r="C64" t="s">
        <v>202</v>
      </c>
      <c r="D64" t="s">
        <v>144</v>
      </c>
      <c r="F64" t="s">
        <v>145</v>
      </c>
    </row>
    <row r="65" spans="1:6">
      <c r="A65" t="s">
        <v>1500</v>
      </c>
      <c r="B65" t="s">
        <v>153</v>
      </c>
      <c r="C65" t="s">
        <v>203</v>
      </c>
      <c r="D65" t="s">
        <v>144</v>
      </c>
      <c r="F65" t="s">
        <v>145</v>
      </c>
    </row>
    <row r="66" spans="1:6">
      <c r="A66" t="s">
        <v>1500</v>
      </c>
      <c r="B66" t="s">
        <v>153</v>
      </c>
      <c r="C66" t="s">
        <v>204</v>
      </c>
      <c r="D66" t="s">
        <v>144</v>
      </c>
      <c r="F66" t="s">
        <v>145</v>
      </c>
    </row>
    <row r="67" spans="1:6">
      <c r="A67" t="s">
        <v>1500</v>
      </c>
      <c r="B67" t="s">
        <v>158</v>
      </c>
      <c r="C67" t="s">
        <v>159</v>
      </c>
      <c r="D67" t="s">
        <v>160</v>
      </c>
      <c r="F67" t="s">
        <v>145</v>
      </c>
    </row>
    <row r="68" spans="1:6">
      <c r="A68" t="s">
        <v>1501</v>
      </c>
      <c r="B68" t="s">
        <v>142</v>
      </c>
      <c r="C68" t="s">
        <v>178</v>
      </c>
      <c r="D68" t="s">
        <v>164</v>
      </c>
      <c r="F68" t="s">
        <v>145</v>
      </c>
    </row>
    <row r="69" spans="1:6">
      <c r="A69" t="s">
        <v>1501</v>
      </c>
      <c r="B69" t="s">
        <v>142</v>
      </c>
      <c r="C69" t="s">
        <v>206</v>
      </c>
      <c r="D69" t="s">
        <v>144</v>
      </c>
      <c r="F69" t="s">
        <v>145</v>
      </c>
    </row>
    <row r="70" spans="1:6">
      <c r="A70" t="s">
        <v>1501</v>
      </c>
      <c r="B70" t="s">
        <v>142</v>
      </c>
      <c r="C70" t="s">
        <v>207</v>
      </c>
      <c r="D70" t="s">
        <v>144</v>
      </c>
      <c r="F70" t="s">
        <v>145</v>
      </c>
    </row>
    <row r="71" spans="1:6">
      <c r="A71" t="s">
        <v>1501</v>
      </c>
      <c r="B71" t="s">
        <v>142</v>
      </c>
      <c r="C71" t="s">
        <v>208</v>
      </c>
      <c r="D71" t="s">
        <v>144</v>
      </c>
      <c r="F71" t="s">
        <v>145</v>
      </c>
    </row>
    <row r="72" spans="1:6">
      <c r="A72" t="s">
        <v>1501</v>
      </c>
      <c r="B72" t="s">
        <v>142</v>
      </c>
      <c r="C72" t="s">
        <v>209</v>
      </c>
      <c r="D72" t="s">
        <v>144</v>
      </c>
      <c r="F72" t="s">
        <v>145</v>
      </c>
    </row>
    <row r="73" spans="1:6">
      <c r="A73" t="s">
        <v>1501</v>
      </c>
      <c r="B73" t="s">
        <v>149</v>
      </c>
      <c r="C73" t="s">
        <v>186</v>
      </c>
      <c r="D73" t="s">
        <v>164</v>
      </c>
      <c r="F73" t="s">
        <v>145</v>
      </c>
    </row>
    <row r="74" spans="1:6">
      <c r="A74" t="s">
        <v>1501</v>
      </c>
      <c r="B74" t="s">
        <v>149</v>
      </c>
      <c r="C74" t="s">
        <v>210</v>
      </c>
      <c r="D74" t="s">
        <v>144</v>
      </c>
      <c r="F74" t="s">
        <v>145</v>
      </c>
    </row>
    <row r="75" spans="1:6">
      <c r="A75" t="s">
        <v>1501</v>
      </c>
      <c r="B75" t="s">
        <v>149</v>
      </c>
      <c r="C75" t="s">
        <v>211</v>
      </c>
      <c r="D75" t="s">
        <v>144</v>
      </c>
      <c r="F75" t="s">
        <v>145</v>
      </c>
    </row>
    <row r="76" spans="1:6">
      <c r="A76" t="s">
        <v>1501</v>
      </c>
      <c r="B76" t="s">
        <v>149</v>
      </c>
      <c r="C76" t="s">
        <v>212</v>
      </c>
      <c r="D76" t="s">
        <v>144</v>
      </c>
      <c r="F76" t="s">
        <v>145</v>
      </c>
    </row>
    <row r="77" spans="1:6">
      <c r="A77" t="s">
        <v>1501</v>
      </c>
      <c r="B77" t="s">
        <v>153</v>
      </c>
      <c r="C77" t="s">
        <v>187</v>
      </c>
      <c r="D77" t="s">
        <v>164</v>
      </c>
      <c r="F77" t="s">
        <v>145</v>
      </c>
    </row>
    <row r="78" spans="1:6">
      <c r="A78" t="s">
        <v>1501</v>
      </c>
      <c r="B78" t="s">
        <v>153</v>
      </c>
      <c r="C78" t="s">
        <v>213</v>
      </c>
      <c r="D78" t="s">
        <v>144</v>
      </c>
      <c r="F78" t="s">
        <v>145</v>
      </c>
    </row>
    <row r="79" spans="1:6">
      <c r="A79" t="s">
        <v>1501</v>
      </c>
      <c r="B79" t="s">
        <v>153</v>
      </c>
      <c r="C79" t="s">
        <v>214</v>
      </c>
      <c r="D79" t="s">
        <v>144</v>
      </c>
      <c r="F79" t="s">
        <v>145</v>
      </c>
    </row>
    <row r="80" spans="1:6">
      <c r="A80" t="s">
        <v>1501</v>
      </c>
      <c r="B80" t="s">
        <v>153</v>
      </c>
      <c r="C80" t="s">
        <v>215</v>
      </c>
      <c r="D80" t="s">
        <v>144</v>
      </c>
      <c r="F80" t="s">
        <v>145</v>
      </c>
    </row>
    <row r="81" spans="1:8">
      <c r="A81" t="s">
        <v>1501</v>
      </c>
      <c r="B81" t="s">
        <v>153</v>
      </c>
      <c r="C81" t="s">
        <v>216</v>
      </c>
      <c r="D81" t="s">
        <v>144</v>
      </c>
      <c r="F81" t="s">
        <v>145</v>
      </c>
    </row>
    <row r="82" spans="1:8">
      <c r="A82" t="s">
        <v>1501</v>
      </c>
      <c r="B82" t="s">
        <v>158</v>
      </c>
      <c r="C82" t="s">
        <v>159</v>
      </c>
      <c r="D82" t="s">
        <v>160</v>
      </c>
      <c r="F82" t="s">
        <v>145</v>
      </c>
    </row>
    <row r="83" spans="1:8">
      <c r="A83" t="s">
        <v>1501</v>
      </c>
      <c r="B83" t="s">
        <v>158</v>
      </c>
      <c r="C83" t="s">
        <v>189</v>
      </c>
      <c r="D83" t="s">
        <v>217</v>
      </c>
      <c r="F83" t="s">
        <v>145</v>
      </c>
    </row>
    <row r="84" spans="1:8">
      <c r="A84" t="s">
        <v>1501</v>
      </c>
      <c r="B84" t="s">
        <v>158</v>
      </c>
      <c r="C84" t="s">
        <v>218</v>
      </c>
      <c r="D84" t="s">
        <v>219</v>
      </c>
      <c r="F84" t="s">
        <v>145</v>
      </c>
    </row>
    <row r="85" spans="1:8">
      <c r="A85" t="s">
        <v>1502</v>
      </c>
      <c r="B85" t="s">
        <v>142</v>
      </c>
      <c r="C85" t="s">
        <v>196</v>
      </c>
      <c r="D85" t="s">
        <v>164</v>
      </c>
      <c r="F85" t="s">
        <v>145</v>
      </c>
    </row>
    <row r="86" spans="1:8">
      <c r="A86" t="s">
        <v>1502</v>
      </c>
      <c r="B86" t="s">
        <v>142</v>
      </c>
      <c r="C86" t="s">
        <v>221</v>
      </c>
      <c r="D86" t="s">
        <v>144</v>
      </c>
      <c r="F86" t="s">
        <v>145</v>
      </c>
      <c r="H86" s="1"/>
    </row>
    <row r="87" spans="1:8">
      <c r="A87" t="s">
        <v>1502</v>
      </c>
      <c r="B87" t="s">
        <v>142</v>
      </c>
      <c r="C87" t="s">
        <v>222</v>
      </c>
      <c r="D87" t="s">
        <v>144</v>
      </c>
      <c r="F87" t="s">
        <v>145</v>
      </c>
    </row>
    <row r="88" spans="1:8">
      <c r="A88" t="s">
        <v>1502</v>
      </c>
      <c r="B88" t="s">
        <v>142</v>
      </c>
      <c r="C88" t="s">
        <v>223</v>
      </c>
      <c r="D88" t="s">
        <v>144</v>
      </c>
      <c r="F88" t="s">
        <v>145</v>
      </c>
    </row>
    <row r="89" spans="1:8">
      <c r="A89" t="s">
        <v>1502</v>
      </c>
      <c r="B89" t="s">
        <v>142</v>
      </c>
      <c r="C89" t="s">
        <v>224</v>
      </c>
      <c r="D89" t="s">
        <v>144</v>
      </c>
      <c r="F89" t="s">
        <v>145</v>
      </c>
    </row>
    <row r="90" spans="1:8">
      <c r="A90" t="s">
        <v>1502</v>
      </c>
      <c r="B90" t="s">
        <v>149</v>
      </c>
      <c r="C90" t="s">
        <v>207</v>
      </c>
      <c r="D90" t="s">
        <v>164</v>
      </c>
      <c r="F90" t="s">
        <v>145</v>
      </c>
    </row>
    <row r="91" spans="1:8">
      <c r="A91" t="s">
        <v>1502</v>
      </c>
      <c r="B91" t="s">
        <v>149</v>
      </c>
      <c r="C91" t="s">
        <v>225</v>
      </c>
      <c r="D91" t="s">
        <v>144</v>
      </c>
      <c r="F91" t="s">
        <v>145</v>
      </c>
    </row>
    <row r="92" spans="1:8">
      <c r="A92" t="s">
        <v>1502</v>
      </c>
      <c r="B92" t="s">
        <v>149</v>
      </c>
      <c r="C92" t="s">
        <v>226</v>
      </c>
      <c r="D92" t="s">
        <v>144</v>
      </c>
      <c r="F92" t="s">
        <v>145</v>
      </c>
    </row>
    <row r="93" spans="1:8">
      <c r="A93" t="s">
        <v>1502</v>
      </c>
      <c r="B93" t="s">
        <v>149</v>
      </c>
      <c r="C93" t="s">
        <v>227</v>
      </c>
      <c r="D93" t="s">
        <v>144</v>
      </c>
      <c r="F93" t="s">
        <v>145</v>
      </c>
    </row>
    <row r="94" spans="1:8">
      <c r="A94" t="s">
        <v>1502</v>
      </c>
      <c r="B94" t="s">
        <v>149</v>
      </c>
      <c r="C94" t="s">
        <v>228</v>
      </c>
      <c r="D94" t="s">
        <v>144</v>
      </c>
      <c r="F94" t="s">
        <v>145</v>
      </c>
    </row>
    <row r="95" spans="1:8">
      <c r="A95" t="s">
        <v>1502</v>
      </c>
      <c r="B95" t="s">
        <v>153</v>
      </c>
      <c r="C95" t="s">
        <v>208</v>
      </c>
      <c r="D95" t="s">
        <v>164</v>
      </c>
      <c r="F95" t="s">
        <v>145</v>
      </c>
    </row>
    <row r="96" spans="1:8">
      <c r="A96" t="s">
        <v>1502</v>
      </c>
      <c r="B96" t="s">
        <v>153</v>
      </c>
      <c r="C96" t="s">
        <v>229</v>
      </c>
      <c r="D96" t="s">
        <v>144</v>
      </c>
      <c r="F96" t="s">
        <v>145</v>
      </c>
    </row>
    <row r="97" spans="1:6">
      <c r="A97" t="s">
        <v>1502</v>
      </c>
      <c r="B97" t="s">
        <v>153</v>
      </c>
      <c r="C97" t="s">
        <v>230</v>
      </c>
      <c r="D97" t="s">
        <v>144</v>
      </c>
      <c r="F97" t="s">
        <v>145</v>
      </c>
    </row>
    <row r="98" spans="1:6">
      <c r="A98" t="s">
        <v>1502</v>
      </c>
      <c r="B98" t="s">
        <v>153</v>
      </c>
      <c r="C98" t="s">
        <v>231</v>
      </c>
      <c r="D98" t="s">
        <v>144</v>
      </c>
      <c r="F98" t="s">
        <v>145</v>
      </c>
    </row>
    <row r="99" spans="1:6">
      <c r="A99" t="s">
        <v>1502</v>
      </c>
      <c r="B99" t="s">
        <v>153</v>
      </c>
      <c r="C99" t="s">
        <v>232</v>
      </c>
      <c r="D99" t="s">
        <v>144</v>
      </c>
      <c r="F99" t="s">
        <v>145</v>
      </c>
    </row>
    <row r="100" spans="1:6">
      <c r="A100" t="s">
        <v>1502</v>
      </c>
      <c r="B100" t="s">
        <v>158</v>
      </c>
      <c r="C100" t="s">
        <v>218</v>
      </c>
      <c r="D100" t="s">
        <v>219</v>
      </c>
      <c r="F100" t="s">
        <v>145</v>
      </c>
    </row>
    <row r="101" spans="1:6">
      <c r="A101" t="s">
        <v>1502</v>
      </c>
      <c r="B101" t="s">
        <v>158</v>
      </c>
      <c r="C101" t="s">
        <v>189</v>
      </c>
      <c r="D101" t="s">
        <v>217</v>
      </c>
      <c r="F101" t="s">
        <v>145</v>
      </c>
    </row>
    <row r="102" spans="1:6">
      <c r="A102" t="s">
        <v>1503</v>
      </c>
      <c r="B102" t="s">
        <v>142</v>
      </c>
      <c r="C102" t="s">
        <v>223</v>
      </c>
      <c r="D102" t="s">
        <v>164</v>
      </c>
      <c r="F102" t="s">
        <v>145</v>
      </c>
    </row>
    <row r="103" spans="1:6">
      <c r="A103" t="s">
        <v>1503</v>
      </c>
      <c r="B103" t="s">
        <v>142</v>
      </c>
      <c r="C103" t="s">
        <v>234</v>
      </c>
      <c r="D103" t="s">
        <v>144</v>
      </c>
      <c r="F103" t="s">
        <v>145</v>
      </c>
    </row>
    <row r="104" spans="1:6">
      <c r="A104" t="s">
        <v>1503</v>
      </c>
      <c r="B104" t="s">
        <v>142</v>
      </c>
      <c r="C104" t="s">
        <v>235</v>
      </c>
      <c r="D104" t="s">
        <v>144</v>
      </c>
      <c r="F104" t="s">
        <v>145</v>
      </c>
    </row>
    <row r="105" spans="1:6">
      <c r="A105" t="s">
        <v>1503</v>
      </c>
      <c r="B105" t="s">
        <v>142</v>
      </c>
      <c r="C105" t="s">
        <v>236</v>
      </c>
      <c r="D105" t="s">
        <v>144</v>
      </c>
      <c r="F105" t="s">
        <v>145</v>
      </c>
    </row>
    <row r="106" spans="1:6">
      <c r="A106" t="s">
        <v>1503</v>
      </c>
      <c r="B106" t="s">
        <v>149</v>
      </c>
      <c r="C106" t="s">
        <v>228</v>
      </c>
      <c r="D106" t="s">
        <v>164</v>
      </c>
      <c r="F106" t="s">
        <v>145</v>
      </c>
    </row>
    <row r="107" spans="1:6">
      <c r="A107" t="s">
        <v>1503</v>
      </c>
      <c r="B107" t="s">
        <v>149</v>
      </c>
      <c r="C107" t="s">
        <v>237</v>
      </c>
      <c r="D107" t="s">
        <v>144</v>
      </c>
      <c r="F107" t="s">
        <v>145</v>
      </c>
    </row>
    <row r="108" spans="1:6">
      <c r="A108" t="s">
        <v>1503</v>
      </c>
      <c r="B108" t="s">
        <v>149</v>
      </c>
      <c r="C108" t="s">
        <v>238</v>
      </c>
      <c r="D108" t="s">
        <v>144</v>
      </c>
      <c r="F108" t="s">
        <v>145</v>
      </c>
    </row>
    <row r="109" spans="1:6">
      <c r="A109" t="s">
        <v>1503</v>
      </c>
      <c r="B109" t="s">
        <v>149</v>
      </c>
      <c r="C109" t="s">
        <v>239</v>
      </c>
      <c r="D109" t="s">
        <v>144</v>
      </c>
      <c r="F109" t="s">
        <v>145</v>
      </c>
    </row>
    <row r="110" spans="1:6">
      <c r="A110" t="s">
        <v>1503</v>
      </c>
      <c r="B110" t="s">
        <v>153</v>
      </c>
      <c r="C110" t="s">
        <v>232</v>
      </c>
      <c r="D110" t="s">
        <v>164</v>
      </c>
      <c r="F110" t="s">
        <v>145</v>
      </c>
    </row>
    <row r="111" spans="1:6">
      <c r="A111" t="s">
        <v>1503</v>
      </c>
      <c r="B111" t="s">
        <v>153</v>
      </c>
      <c r="C111" t="s">
        <v>240</v>
      </c>
      <c r="D111" t="s">
        <v>144</v>
      </c>
      <c r="F111" t="s">
        <v>145</v>
      </c>
    </row>
    <row r="112" spans="1:6">
      <c r="A112" t="s">
        <v>1503</v>
      </c>
      <c r="B112" t="s">
        <v>153</v>
      </c>
      <c r="C112" t="s">
        <v>241</v>
      </c>
      <c r="D112" t="s">
        <v>144</v>
      </c>
      <c r="F112" t="s">
        <v>145</v>
      </c>
    </row>
    <row r="113" spans="1:6">
      <c r="A113" t="s">
        <v>1503</v>
      </c>
      <c r="B113" t="s">
        <v>153</v>
      </c>
      <c r="C113" t="s">
        <v>242</v>
      </c>
      <c r="D113" t="s">
        <v>144</v>
      </c>
      <c r="F113" t="s">
        <v>145</v>
      </c>
    </row>
    <row r="114" spans="1:6">
      <c r="A114" t="s">
        <v>1503</v>
      </c>
      <c r="B114" t="s">
        <v>158</v>
      </c>
      <c r="C114" t="s">
        <v>189</v>
      </c>
      <c r="D114" t="s">
        <v>217</v>
      </c>
      <c r="F114" t="s">
        <v>145</v>
      </c>
    </row>
    <row r="115" spans="1:6">
      <c r="A115" t="s">
        <v>1503</v>
      </c>
      <c r="B115" t="s">
        <v>158</v>
      </c>
      <c r="C115" t="s">
        <v>218</v>
      </c>
      <c r="D115" t="s">
        <v>219</v>
      </c>
      <c r="F115" t="s">
        <v>145</v>
      </c>
    </row>
    <row r="116" spans="1:6">
      <c r="A116" t="s">
        <v>1504</v>
      </c>
      <c r="B116" t="s">
        <v>142</v>
      </c>
      <c r="C116" t="s">
        <v>237</v>
      </c>
      <c r="D116" t="s">
        <v>164</v>
      </c>
      <c r="F116" t="s">
        <v>145</v>
      </c>
    </row>
    <row r="117" spans="1:6">
      <c r="A117" t="s">
        <v>1504</v>
      </c>
      <c r="B117" t="s">
        <v>142</v>
      </c>
      <c r="C117" t="s">
        <v>244</v>
      </c>
      <c r="D117" t="s">
        <v>144</v>
      </c>
      <c r="F117" t="s">
        <v>145</v>
      </c>
    </row>
    <row r="118" spans="1:6">
      <c r="A118" t="s">
        <v>1504</v>
      </c>
      <c r="B118" t="s">
        <v>142</v>
      </c>
      <c r="C118" t="s">
        <v>245</v>
      </c>
      <c r="D118" t="s">
        <v>144</v>
      </c>
      <c r="F118" t="s">
        <v>145</v>
      </c>
    </row>
    <row r="119" spans="1:6">
      <c r="A119" t="s">
        <v>1504</v>
      </c>
      <c r="B119" t="s">
        <v>142</v>
      </c>
      <c r="C119" t="s">
        <v>246</v>
      </c>
      <c r="D119" t="s">
        <v>144</v>
      </c>
      <c r="F119" t="s">
        <v>145</v>
      </c>
    </row>
    <row r="120" spans="1:6">
      <c r="A120" t="s">
        <v>1504</v>
      </c>
      <c r="B120" t="s">
        <v>142</v>
      </c>
      <c r="C120" t="s">
        <v>247</v>
      </c>
      <c r="D120" t="s">
        <v>144</v>
      </c>
      <c r="F120" t="s">
        <v>145</v>
      </c>
    </row>
    <row r="121" spans="1:6">
      <c r="A121" t="s">
        <v>1504</v>
      </c>
      <c r="B121" t="s">
        <v>149</v>
      </c>
      <c r="C121" t="s">
        <v>239</v>
      </c>
      <c r="D121" t="s">
        <v>164</v>
      </c>
      <c r="F121" t="s">
        <v>145</v>
      </c>
    </row>
    <row r="122" spans="1:6">
      <c r="A122" t="s">
        <v>1504</v>
      </c>
      <c r="B122" t="s">
        <v>149</v>
      </c>
      <c r="C122" t="s">
        <v>248</v>
      </c>
      <c r="D122" t="s">
        <v>144</v>
      </c>
      <c r="F122" t="s">
        <v>145</v>
      </c>
    </row>
    <row r="123" spans="1:6">
      <c r="A123" t="s">
        <v>1504</v>
      </c>
      <c r="B123" t="s">
        <v>149</v>
      </c>
      <c r="C123" t="s">
        <v>249</v>
      </c>
      <c r="D123" t="s">
        <v>144</v>
      </c>
      <c r="F123" t="s">
        <v>145</v>
      </c>
    </row>
    <row r="124" spans="1:6">
      <c r="A124" t="s">
        <v>1504</v>
      </c>
      <c r="B124" t="s">
        <v>149</v>
      </c>
      <c r="C124" t="s">
        <v>250</v>
      </c>
      <c r="D124" t="s">
        <v>144</v>
      </c>
      <c r="F124" t="s">
        <v>145</v>
      </c>
    </row>
    <row r="125" spans="1:6">
      <c r="A125" t="s">
        <v>1504</v>
      </c>
      <c r="B125" t="s">
        <v>149</v>
      </c>
      <c r="C125" t="s">
        <v>251</v>
      </c>
      <c r="D125" t="s">
        <v>144</v>
      </c>
      <c r="F125" t="s">
        <v>145</v>
      </c>
    </row>
    <row r="126" spans="1:6">
      <c r="A126" t="s">
        <v>1504</v>
      </c>
      <c r="B126" t="s">
        <v>153</v>
      </c>
      <c r="C126" t="s">
        <v>242</v>
      </c>
      <c r="D126" t="s">
        <v>164</v>
      </c>
      <c r="F126" t="s">
        <v>145</v>
      </c>
    </row>
    <row r="127" spans="1:6">
      <c r="A127" t="s">
        <v>1504</v>
      </c>
      <c r="B127" t="s">
        <v>153</v>
      </c>
      <c r="C127" t="s">
        <v>252</v>
      </c>
      <c r="D127" t="s">
        <v>144</v>
      </c>
      <c r="F127" t="s">
        <v>145</v>
      </c>
    </row>
    <row r="128" spans="1:6">
      <c r="A128" t="s">
        <v>1504</v>
      </c>
      <c r="B128" t="s">
        <v>153</v>
      </c>
      <c r="C128" t="s">
        <v>253</v>
      </c>
      <c r="D128" t="s">
        <v>144</v>
      </c>
      <c r="F128" t="s">
        <v>145</v>
      </c>
    </row>
    <row r="129" spans="1:6">
      <c r="A129" t="s">
        <v>1504</v>
      </c>
      <c r="B129" t="s">
        <v>153</v>
      </c>
      <c r="C129" t="s">
        <v>254</v>
      </c>
      <c r="D129" t="s">
        <v>144</v>
      </c>
      <c r="F129" t="s">
        <v>145</v>
      </c>
    </row>
    <row r="130" spans="1:6">
      <c r="A130" t="s">
        <v>1504</v>
      </c>
      <c r="B130" t="s">
        <v>153</v>
      </c>
      <c r="C130" t="s">
        <v>255</v>
      </c>
      <c r="D130" t="s">
        <v>144</v>
      </c>
      <c r="F130" t="s">
        <v>145</v>
      </c>
    </row>
    <row r="131" spans="1:6">
      <c r="A131" t="s">
        <v>1504</v>
      </c>
      <c r="B131" t="s">
        <v>153</v>
      </c>
      <c r="C131" t="s">
        <v>256</v>
      </c>
      <c r="D131" t="s">
        <v>144</v>
      </c>
      <c r="F131" t="s">
        <v>145</v>
      </c>
    </row>
    <row r="132" spans="1:6">
      <c r="A132" t="s">
        <v>1504</v>
      </c>
      <c r="B132" t="s">
        <v>158</v>
      </c>
      <c r="C132" t="s">
        <v>257</v>
      </c>
      <c r="D132" t="s">
        <v>160</v>
      </c>
      <c r="F132" t="s">
        <v>145</v>
      </c>
    </row>
    <row r="133" spans="1:6">
      <c r="A133" t="s">
        <v>1504</v>
      </c>
      <c r="B133" t="s">
        <v>158</v>
      </c>
      <c r="C133" t="s">
        <v>218</v>
      </c>
      <c r="D133" t="s">
        <v>219</v>
      </c>
      <c r="F133" t="s">
        <v>145</v>
      </c>
    </row>
    <row r="134" spans="1:6">
      <c r="A134" t="s">
        <v>1504</v>
      </c>
      <c r="B134" t="s">
        <v>158</v>
      </c>
      <c r="C134" t="s">
        <v>189</v>
      </c>
      <c r="D134" t="s">
        <v>217</v>
      </c>
      <c r="F134" t="s">
        <v>145</v>
      </c>
    </row>
    <row r="135" spans="1:6">
      <c r="A135" t="s">
        <v>1505</v>
      </c>
      <c r="B135" t="s">
        <v>142</v>
      </c>
      <c r="C135" t="s">
        <v>235</v>
      </c>
      <c r="D135" t="s">
        <v>164</v>
      </c>
      <c r="F135" t="s">
        <v>145</v>
      </c>
    </row>
    <row r="136" spans="1:6">
      <c r="A136" t="s">
        <v>1505</v>
      </c>
      <c r="B136" t="s">
        <v>142</v>
      </c>
      <c r="C136" t="s">
        <v>259</v>
      </c>
      <c r="D136" t="s">
        <v>144</v>
      </c>
      <c r="F136" t="s">
        <v>145</v>
      </c>
    </row>
    <row r="137" spans="1:6">
      <c r="A137" t="s">
        <v>1505</v>
      </c>
      <c r="B137" t="s">
        <v>142</v>
      </c>
      <c r="C137" t="s">
        <v>260</v>
      </c>
      <c r="D137" t="s">
        <v>144</v>
      </c>
      <c r="F137" t="s">
        <v>145</v>
      </c>
    </row>
    <row r="138" spans="1:6">
      <c r="A138" t="s">
        <v>1505</v>
      </c>
      <c r="B138" t="s">
        <v>142</v>
      </c>
      <c r="C138" t="s">
        <v>261</v>
      </c>
      <c r="D138" t="s">
        <v>144</v>
      </c>
      <c r="F138" t="s">
        <v>145</v>
      </c>
    </row>
    <row r="139" spans="1:6">
      <c r="A139" t="s">
        <v>1505</v>
      </c>
      <c r="B139" t="s">
        <v>142</v>
      </c>
      <c r="C139" t="s">
        <v>262</v>
      </c>
      <c r="D139" t="s">
        <v>144</v>
      </c>
      <c r="F139" t="s">
        <v>145</v>
      </c>
    </row>
    <row r="140" spans="1:6">
      <c r="A140" t="s">
        <v>1505</v>
      </c>
      <c r="B140" t="s">
        <v>149</v>
      </c>
      <c r="C140" t="s">
        <v>238</v>
      </c>
      <c r="D140" t="s">
        <v>164</v>
      </c>
      <c r="F140" t="s">
        <v>145</v>
      </c>
    </row>
    <row r="141" spans="1:6">
      <c r="A141" t="s">
        <v>1505</v>
      </c>
      <c r="B141" t="s">
        <v>149</v>
      </c>
      <c r="C141" t="s">
        <v>263</v>
      </c>
      <c r="D141" t="s">
        <v>144</v>
      </c>
      <c r="F141" t="s">
        <v>145</v>
      </c>
    </row>
    <row r="142" spans="1:6">
      <c r="A142" t="s">
        <v>1505</v>
      </c>
      <c r="B142" t="s">
        <v>149</v>
      </c>
      <c r="C142" t="s">
        <v>264</v>
      </c>
      <c r="D142" t="s">
        <v>144</v>
      </c>
      <c r="F142" t="s">
        <v>145</v>
      </c>
    </row>
    <row r="143" spans="1:6">
      <c r="A143" t="s">
        <v>1505</v>
      </c>
      <c r="B143" t="s">
        <v>149</v>
      </c>
      <c r="C143" t="s">
        <v>265</v>
      </c>
      <c r="D143" t="s">
        <v>144</v>
      </c>
      <c r="F143" t="s">
        <v>145</v>
      </c>
    </row>
    <row r="144" spans="1:6">
      <c r="A144" t="s">
        <v>1505</v>
      </c>
      <c r="B144" t="s">
        <v>149</v>
      </c>
      <c r="C144" t="s">
        <v>266</v>
      </c>
      <c r="D144" t="s">
        <v>144</v>
      </c>
      <c r="F144" t="s">
        <v>145</v>
      </c>
    </row>
    <row r="145" spans="1:6">
      <c r="A145" t="s">
        <v>1505</v>
      </c>
      <c r="B145" t="s">
        <v>149</v>
      </c>
      <c r="C145" t="s">
        <v>267</v>
      </c>
      <c r="D145" t="s">
        <v>144</v>
      </c>
      <c r="F145" t="s">
        <v>145</v>
      </c>
    </row>
    <row r="146" spans="1:6">
      <c r="A146" t="s">
        <v>1505</v>
      </c>
      <c r="B146" t="s">
        <v>149</v>
      </c>
      <c r="C146" t="s">
        <v>268</v>
      </c>
      <c r="D146" t="s">
        <v>144</v>
      </c>
      <c r="F146" t="s">
        <v>145</v>
      </c>
    </row>
    <row r="147" spans="1:6">
      <c r="A147" t="s">
        <v>1505</v>
      </c>
      <c r="B147" t="s">
        <v>149</v>
      </c>
      <c r="C147" t="s">
        <v>269</v>
      </c>
      <c r="D147" t="s">
        <v>144</v>
      </c>
      <c r="F147" t="s">
        <v>145</v>
      </c>
    </row>
    <row r="148" spans="1:6">
      <c r="A148" t="s">
        <v>1505</v>
      </c>
      <c r="B148" t="s">
        <v>149</v>
      </c>
      <c r="C148" t="s">
        <v>270</v>
      </c>
      <c r="D148" t="s">
        <v>144</v>
      </c>
      <c r="F148" t="s">
        <v>145</v>
      </c>
    </row>
    <row r="149" spans="1:6">
      <c r="A149" t="s">
        <v>1505</v>
      </c>
      <c r="B149" t="s">
        <v>153</v>
      </c>
      <c r="C149" t="s">
        <v>255</v>
      </c>
      <c r="D149" t="s">
        <v>164</v>
      </c>
      <c r="F149" t="s">
        <v>145</v>
      </c>
    </row>
    <row r="150" spans="1:6">
      <c r="A150" t="s">
        <v>1505</v>
      </c>
      <c r="B150" t="s">
        <v>153</v>
      </c>
      <c r="C150" t="s">
        <v>271</v>
      </c>
      <c r="D150" t="s">
        <v>144</v>
      </c>
      <c r="F150" t="s">
        <v>145</v>
      </c>
    </row>
    <row r="151" spans="1:6">
      <c r="A151" t="s">
        <v>1505</v>
      </c>
      <c r="B151" t="s">
        <v>153</v>
      </c>
      <c r="C151" t="s">
        <v>272</v>
      </c>
      <c r="D151" t="s">
        <v>144</v>
      </c>
      <c r="F151" t="s">
        <v>145</v>
      </c>
    </row>
    <row r="152" spans="1:6">
      <c r="A152" t="s">
        <v>1505</v>
      </c>
      <c r="B152" t="s">
        <v>153</v>
      </c>
      <c r="C152" t="s">
        <v>273</v>
      </c>
      <c r="D152" t="s">
        <v>144</v>
      </c>
      <c r="F152" t="s">
        <v>145</v>
      </c>
    </row>
    <row r="153" spans="1:6">
      <c r="A153" t="s">
        <v>1505</v>
      </c>
      <c r="B153" t="s">
        <v>153</v>
      </c>
      <c r="C153" t="s">
        <v>274</v>
      </c>
      <c r="D153" t="s">
        <v>144</v>
      </c>
      <c r="F153" t="s">
        <v>145</v>
      </c>
    </row>
    <row r="154" spans="1:6">
      <c r="A154" t="s">
        <v>1505</v>
      </c>
      <c r="B154" t="s">
        <v>158</v>
      </c>
      <c r="C154" t="s">
        <v>257</v>
      </c>
      <c r="D154" t="s">
        <v>160</v>
      </c>
      <c r="F154" t="s">
        <v>145</v>
      </c>
    </row>
    <row r="155" spans="1:6">
      <c r="A155" t="s">
        <v>1505</v>
      </c>
      <c r="B155" t="s">
        <v>158</v>
      </c>
      <c r="C155" t="s">
        <v>218</v>
      </c>
      <c r="D155" t="s">
        <v>219</v>
      </c>
      <c r="F155" t="s">
        <v>145</v>
      </c>
    </row>
    <row r="156" spans="1:6">
      <c r="A156" t="s">
        <v>1505</v>
      </c>
      <c r="B156" t="s">
        <v>158</v>
      </c>
      <c r="C156" t="s">
        <v>242</v>
      </c>
      <c r="D156" t="s">
        <v>217</v>
      </c>
      <c r="F156" t="s">
        <v>145</v>
      </c>
    </row>
    <row r="157" spans="1:6">
      <c r="A157" t="s">
        <v>1505</v>
      </c>
      <c r="B157" t="s">
        <v>158</v>
      </c>
      <c r="C157" t="s">
        <v>275</v>
      </c>
      <c r="D157" t="s">
        <v>217</v>
      </c>
      <c r="F157" t="s">
        <v>145</v>
      </c>
    </row>
    <row r="158" spans="1:6">
      <c r="A158" t="s">
        <v>1506</v>
      </c>
      <c r="B158" t="s">
        <v>142</v>
      </c>
      <c r="C158" t="s">
        <v>260</v>
      </c>
      <c r="D158" t="s">
        <v>164</v>
      </c>
      <c r="F158" t="s">
        <v>145</v>
      </c>
    </row>
    <row r="159" spans="1:6">
      <c r="A159" t="s">
        <v>1506</v>
      </c>
      <c r="B159" t="s">
        <v>142</v>
      </c>
      <c r="C159" t="s">
        <v>277</v>
      </c>
      <c r="D159" t="s">
        <v>144</v>
      </c>
      <c r="F159" t="s">
        <v>145</v>
      </c>
    </row>
    <row r="160" spans="1:6">
      <c r="A160" t="s">
        <v>1506</v>
      </c>
      <c r="B160" t="s">
        <v>142</v>
      </c>
      <c r="C160" t="s">
        <v>278</v>
      </c>
      <c r="D160" t="s">
        <v>144</v>
      </c>
      <c r="F160" t="s">
        <v>145</v>
      </c>
    </row>
    <row r="161" spans="1:6">
      <c r="A161" t="s">
        <v>1506</v>
      </c>
      <c r="B161" t="s">
        <v>142</v>
      </c>
      <c r="C161" t="s">
        <v>279</v>
      </c>
      <c r="D161" t="s">
        <v>144</v>
      </c>
      <c r="F161" t="s">
        <v>145</v>
      </c>
    </row>
    <row r="162" spans="1:6">
      <c r="A162" t="s">
        <v>1506</v>
      </c>
      <c r="B162" t="s">
        <v>142</v>
      </c>
      <c r="C162" t="s">
        <v>280</v>
      </c>
      <c r="D162" t="s">
        <v>144</v>
      </c>
      <c r="F162" t="s">
        <v>145</v>
      </c>
    </row>
    <row r="163" spans="1:6">
      <c r="A163" t="s">
        <v>1506</v>
      </c>
      <c r="B163" t="s">
        <v>142</v>
      </c>
      <c r="C163" t="s">
        <v>281</v>
      </c>
      <c r="D163" t="s">
        <v>144</v>
      </c>
      <c r="F163" t="s">
        <v>145</v>
      </c>
    </row>
    <row r="164" spans="1:6">
      <c r="A164" t="s">
        <v>1506</v>
      </c>
      <c r="B164" t="s">
        <v>149</v>
      </c>
      <c r="C164" t="s">
        <v>245</v>
      </c>
      <c r="D164" t="s">
        <v>164</v>
      </c>
      <c r="F164" t="s">
        <v>145</v>
      </c>
    </row>
    <row r="165" spans="1:6">
      <c r="A165" t="s">
        <v>1506</v>
      </c>
      <c r="B165" t="s">
        <v>149</v>
      </c>
      <c r="C165" t="s">
        <v>282</v>
      </c>
      <c r="D165" t="s">
        <v>144</v>
      </c>
      <c r="F165" t="s">
        <v>145</v>
      </c>
    </row>
    <row r="166" spans="1:6">
      <c r="A166" t="s">
        <v>1506</v>
      </c>
      <c r="B166" t="s">
        <v>149</v>
      </c>
      <c r="C166" t="s">
        <v>283</v>
      </c>
      <c r="D166" t="s">
        <v>144</v>
      </c>
      <c r="F166" t="s">
        <v>145</v>
      </c>
    </row>
    <row r="167" spans="1:6">
      <c r="A167" t="s">
        <v>1506</v>
      </c>
      <c r="B167" t="s">
        <v>149</v>
      </c>
      <c r="C167" t="s">
        <v>284</v>
      </c>
      <c r="D167" t="s">
        <v>144</v>
      </c>
      <c r="F167" t="s">
        <v>145</v>
      </c>
    </row>
    <row r="168" spans="1:6">
      <c r="A168" t="s">
        <v>1506</v>
      </c>
      <c r="B168" t="s">
        <v>149</v>
      </c>
      <c r="C168" t="s">
        <v>285</v>
      </c>
      <c r="D168" t="s">
        <v>144</v>
      </c>
      <c r="F168" t="s">
        <v>145</v>
      </c>
    </row>
    <row r="169" spans="1:6">
      <c r="A169" t="s">
        <v>1506</v>
      </c>
      <c r="B169" t="s">
        <v>149</v>
      </c>
      <c r="C169" t="s">
        <v>286</v>
      </c>
      <c r="D169" t="s">
        <v>144</v>
      </c>
      <c r="F169" t="s">
        <v>145</v>
      </c>
    </row>
    <row r="170" spans="1:6">
      <c r="A170" t="s">
        <v>1506</v>
      </c>
      <c r="B170" t="s">
        <v>149</v>
      </c>
      <c r="C170" t="s">
        <v>287</v>
      </c>
      <c r="D170" t="s">
        <v>144</v>
      </c>
      <c r="F170" t="s">
        <v>145</v>
      </c>
    </row>
    <row r="171" spans="1:6">
      <c r="A171" t="s">
        <v>1506</v>
      </c>
      <c r="B171" t="s">
        <v>153</v>
      </c>
      <c r="C171" t="s">
        <v>272</v>
      </c>
      <c r="D171" t="s">
        <v>164</v>
      </c>
      <c r="F171" t="s">
        <v>145</v>
      </c>
    </row>
    <row r="172" spans="1:6">
      <c r="A172" t="s">
        <v>1506</v>
      </c>
      <c r="B172" t="s">
        <v>153</v>
      </c>
      <c r="C172" t="s">
        <v>288</v>
      </c>
      <c r="D172" t="s">
        <v>144</v>
      </c>
      <c r="F172" t="s">
        <v>145</v>
      </c>
    </row>
    <row r="173" spans="1:6">
      <c r="A173" t="s">
        <v>1506</v>
      </c>
      <c r="B173" t="s">
        <v>153</v>
      </c>
      <c r="C173" t="s">
        <v>289</v>
      </c>
      <c r="D173" t="s">
        <v>144</v>
      </c>
      <c r="F173" t="s">
        <v>145</v>
      </c>
    </row>
    <row r="174" spans="1:6">
      <c r="A174" t="s">
        <v>1506</v>
      </c>
      <c r="B174" t="s">
        <v>153</v>
      </c>
      <c r="C174" t="s">
        <v>290</v>
      </c>
      <c r="D174" t="s">
        <v>144</v>
      </c>
      <c r="F174" t="s">
        <v>145</v>
      </c>
    </row>
    <row r="175" spans="1:6">
      <c r="A175" t="s">
        <v>1506</v>
      </c>
      <c r="B175" t="s">
        <v>153</v>
      </c>
      <c r="C175" t="s">
        <v>291</v>
      </c>
      <c r="D175" t="s">
        <v>144</v>
      </c>
      <c r="F175" t="s">
        <v>145</v>
      </c>
    </row>
    <row r="176" spans="1:6">
      <c r="A176" t="s">
        <v>1506</v>
      </c>
      <c r="B176" t="s">
        <v>158</v>
      </c>
      <c r="C176" t="s">
        <v>257</v>
      </c>
      <c r="D176" t="s">
        <v>160</v>
      </c>
      <c r="F176" t="s">
        <v>145</v>
      </c>
    </row>
    <row r="177" spans="1:6">
      <c r="A177" t="s">
        <v>1506</v>
      </c>
      <c r="B177" t="s">
        <v>158</v>
      </c>
      <c r="C177" t="s">
        <v>292</v>
      </c>
      <c r="D177" t="s">
        <v>219</v>
      </c>
      <c r="F177" t="s">
        <v>145</v>
      </c>
    </row>
    <row r="178" spans="1:6">
      <c r="A178" t="s">
        <v>1506</v>
      </c>
      <c r="B178" t="s">
        <v>158</v>
      </c>
      <c r="C178" t="s">
        <v>242</v>
      </c>
      <c r="D178" t="s">
        <v>217</v>
      </c>
      <c r="F178" t="s">
        <v>145</v>
      </c>
    </row>
    <row r="179" spans="1:6">
      <c r="A179" t="s">
        <v>1506</v>
      </c>
      <c r="B179" t="s">
        <v>158</v>
      </c>
      <c r="C179" t="s">
        <v>194</v>
      </c>
      <c r="D179" t="s">
        <v>217</v>
      </c>
      <c r="F179" t="s">
        <v>145</v>
      </c>
    </row>
    <row r="180" spans="1:6">
      <c r="A180" t="s">
        <v>1507</v>
      </c>
      <c r="B180" t="s">
        <v>142</v>
      </c>
      <c r="C180" t="s">
        <v>252</v>
      </c>
      <c r="D180" t="s">
        <v>164</v>
      </c>
      <c r="F180" t="s">
        <v>145</v>
      </c>
    </row>
    <row r="181" spans="1:6">
      <c r="A181" t="s">
        <v>1507</v>
      </c>
      <c r="B181" t="s">
        <v>142</v>
      </c>
      <c r="C181" t="s">
        <v>294</v>
      </c>
      <c r="D181" t="s">
        <v>144</v>
      </c>
      <c r="F181" t="s">
        <v>145</v>
      </c>
    </row>
    <row r="182" spans="1:6">
      <c r="A182" t="s">
        <v>1507</v>
      </c>
      <c r="B182" t="s">
        <v>142</v>
      </c>
      <c r="C182" t="s">
        <v>295</v>
      </c>
      <c r="D182" t="s">
        <v>144</v>
      </c>
      <c r="F182" t="s">
        <v>145</v>
      </c>
    </row>
    <row r="183" spans="1:6">
      <c r="A183" t="s">
        <v>1507</v>
      </c>
      <c r="B183" t="s">
        <v>142</v>
      </c>
      <c r="C183" t="s">
        <v>296</v>
      </c>
      <c r="D183" t="s">
        <v>144</v>
      </c>
      <c r="F183" t="s">
        <v>145</v>
      </c>
    </row>
    <row r="184" spans="1:6">
      <c r="A184" t="s">
        <v>1507</v>
      </c>
      <c r="B184" t="s">
        <v>142</v>
      </c>
      <c r="C184" t="s">
        <v>297</v>
      </c>
      <c r="D184" t="s">
        <v>144</v>
      </c>
      <c r="F184" t="s">
        <v>145</v>
      </c>
    </row>
    <row r="185" spans="1:6">
      <c r="A185" t="s">
        <v>1507</v>
      </c>
      <c r="B185" t="s">
        <v>149</v>
      </c>
      <c r="C185" t="s">
        <v>261</v>
      </c>
      <c r="D185" t="s">
        <v>164</v>
      </c>
      <c r="F185" t="s">
        <v>145</v>
      </c>
    </row>
    <row r="186" spans="1:6">
      <c r="A186" t="s">
        <v>1507</v>
      </c>
      <c r="B186" t="s">
        <v>149</v>
      </c>
      <c r="C186" t="s">
        <v>298</v>
      </c>
      <c r="D186" t="s">
        <v>144</v>
      </c>
      <c r="F186" t="s">
        <v>145</v>
      </c>
    </row>
    <row r="187" spans="1:6">
      <c r="A187" t="s">
        <v>1507</v>
      </c>
      <c r="B187" t="s">
        <v>149</v>
      </c>
      <c r="C187" t="s">
        <v>299</v>
      </c>
      <c r="D187" t="s">
        <v>144</v>
      </c>
      <c r="F187" t="s">
        <v>145</v>
      </c>
    </row>
    <row r="188" spans="1:6">
      <c r="A188" t="s">
        <v>1507</v>
      </c>
      <c r="B188" t="s">
        <v>149</v>
      </c>
      <c r="C188" t="s">
        <v>300</v>
      </c>
      <c r="D188" t="s">
        <v>144</v>
      </c>
      <c r="F188" t="s">
        <v>145</v>
      </c>
    </row>
    <row r="189" spans="1:6">
      <c r="A189" t="s">
        <v>1507</v>
      </c>
      <c r="B189" t="s">
        <v>149</v>
      </c>
      <c r="C189" t="s">
        <v>301</v>
      </c>
      <c r="D189" t="s">
        <v>144</v>
      </c>
      <c r="F189" t="s">
        <v>145</v>
      </c>
    </row>
    <row r="190" spans="1:6">
      <c r="A190" t="s">
        <v>1507</v>
      </c>
      <c r="B190" t="s">
        <v>149</v>
      </c>
      <c r="C190" t="s">
        <v>302</v>
      </c>
      <c r="D190" t="s">
        <v>144</v>
      </c>
      <c r="F190" t="s">
        <v>145</v>
      </c>
    </row>
    <row r="191" spans="1:6">
      <c r="A191" t="s">
        <v>1507</v>
      </c>
      <c r="B191" t="s">
        <v>149</v>
      </c>
      <c r="C191" t="s">
        <v>303</v>
      </c>
      <c r="D191" t="s">
        <v>144</v>
      </c>
      <c r="F191" t="s">
        <v>145</v>
      </c>
    </row>
    <row r="192" spans="1:6">
      <c r="A192" t="s">
        <v>1507</v>
      </c>
      <c r="B192" t="s">
        <v>149</v>
      </c>
      <c r="C192" t="s">
        <v>304</v>
      </c>
      <c r="D192" t="s">
        <v>144</v>
      </c>
      <c r="F192" t="s">
        <v>145</v>
      </c>
    </row>
    <row r="193" spans="1:6">
      <c r="A193" t="s">
        <v>1507</v>
      </c>
      <c r="B193" t="s">
        <v>149</v>
      </c>
      <c r="C193" t="s">
        <v>305</v>
      </c>
      <c r="D193" t="s">
        <v>144</v>
      </c>
      <c r="F193" t="s">
        <v>145</v>
      </c>
    </row>
    <row r="194" spans="1:6">
      <c r="A194" t="s">
        <v>1507</v>
      </c>
      <c r="B194" t="s">
        <v>149</v>
      </c>
      <c r="C194" t="s">
        <v>306</v>
      </c>
      <c r="D194" t="s">
        <v>144</v>
      </c>
      <c r="F194" t="s">
        <v>145</v>
      </c>
    </row>
    <row r="195" spans="1:6">
      <c r="A195" t="s">
        <v>1507</v>
      </c>
      <c r="B195" t="s">
        <v>153</v>
      </c>
      <c r="C195" t="s">
        <v>262</v>
      </c>
      <c r="D195" t="s">
        <v>164</v>
      </c>
      <c r="F195" t="s">
        <v>145</v>
      </c>
    </row>
    <row r="196" spans="1:6">
      <c r="A196" t="s">
        <v>1507</v>
      </c>
      <c r="B196" t="s">
        <v>153</v>
      </c>
      <c r="C196" t="s">
        <v>307</v>
      </c>
      <c r="D196" t="s">
        <v>144</v>
      </c>
      <c r="F196" t="s">
        <v>145</v>
      </c>
    </row>
    <row r="197" spans="1:6">
      <c r="A197" t="s">
        <v>1507</v>
      </c>
      <c r="B197" t="s">
        <v>153</v>
      </c>
      <c r="C197" t="s">
        <v>308</v>
      </c>
      <c r="D197" t="s">
        <v>144</v>
      </c>
      <c r="F197" t="s">
        <v>145</v>
      </c>
    </row>
    <row r="198" spans="1:6">
      <c r="A198" t="s">
        <v>1507</v>
      </c>
      <c r="B198" t="s">
        <v>153</v>
      </c>
      <c r="C198" t="s">
        <v>309</v>
      </c>
      <c r="D198" t="s">
        <v>144</v>
      </c>
      <c r="F198" t="s">
        <v>145</v>
      </c>
    </row>
    <row r="199" spans="1:6">
      <c r="A199" t="s">
        <v>1507</v>
      </c>
      <c r="B199" t="s">
        <v>153</v>
      </c>
      <c r="C199" t="s">
        <v>310</v>
      </c>
      <c r="D199" t="s">
        <v>144</v>
      </c>
      <c r="F199" t="s">
        <v>145</v>
      </c>
    </row>
    <row r="200" spans="1:6">
      <c r="A200" t="s">
        <v>1507</v>
      </c>
      <c r="B200" t="s">
        <v>311</v>
      </c>
      <c r="C200" t="s">
        <v>282</v>
      </c>
      <c r="D200" t="s">
        <v>164</v>
      </c>
      <c r="F200" t="s">
        <v>145</v>
      </c>
    </row>
    <row r="201" spans="1:6">
      <c r="A201" t="s">
        <v>1507</v>
      </c>
      <c r="B201" t="s">
        <v>311</v>
      </c>
      <c r="C201" t="s">
        <v>312</v>
      </c>
      <c r="D201" t="s">
        <v>144</v>
      </c>
      <c r="F201" t="s">
        <v>145</v>
      </c>
    </row>
    <row r="202" spans="1:6">
      <c r="A202" t="s">
        <v>1507</v>
      </c>
      <c r="B202" t="s">
        <v>311</v>
      </c>
      <c r="C202" t="s">
        <v>313</v>
      </c>
      <c r="D202" t="s">
        <v>144</v>
      </c>
      <c r="F202" t="s">
        <v>145</v>
      </c>
    </row>
    <row r="203" spans="1:6">
      <c r="A203" t="s">
        <v>1507</v>
      </c>
      <c r="B203" t="s">
        <v>311</v>
      </c>
      <c r="C203" t="s">
        <v>314</v>
      </c>
      <c r="D203" t="s">
        <v>144</v>
      </c>
      <c r="F203" t="s">
        <v>145</v>
      </c>
    </row>
    <row r="204" spans="1:6">
      <c r="A204" t="s">
        <v>1507</v>
      </c>
      <c r="B204" t="s">
        <v>311</v>
      </c>
      <c r="C204" t="s">
        <v>315</v>
      </c>
      <c r="D204" t="s">
        <v>144</v>
      </c>
      <c r="F204" t="s">
        <v>145</v>
      </c>
    </row>
    <row r="205" spans="1:6">
      <c r="A205" t="s">
        <v>1507</v>
      </c>
      <c r="B205" t="s">
        <v>311</v>
      </c>
      <c r="C205" t="s">
        <v>316</v>
      </c>
      <c r="D205" t="s">
        <v>144</v>
      </c>
      <c r="F205" t="s">
        <v>145</v>
      </c>
    </row>
    <row r="206" spans="1:6">
      <c r="A206" t="s">
        <v>1507</v>
      </c>
      <c r="B206" t="s">
        <v>311</v>
      </c>
      <c r="C206" t="s">
        <v>317</v>
      </c>
      <c r="D206" t="s">
        <v>144</v>
      </c>
      <c r="F206" t="s">
        <v>145</v>
      </c>
    </row>
    <row r="207" spans="1:6">
      <c r="A207" t="s">
        <v>1507</v>
      </c>
      <c r="B207" t="s">
        <v>158</v>
      </c>
      <c r="C207" t="s">
        <v>257</v>
      </c>
      <c r="D207" t="s">
        <v>160</v>
      </c>
      <c r="F207" t="s">
        <v>145</v>
      </c>
    </row>
    <row r="208" spans="1:6">
      <c r="A208" t="s">
        <v>1507</v>
      </c>
      <c r="B208" t="s">
        <v>158</v>
      </c>
      <c r="C208" t="s">
        <v>292</v>
      </c>
      <c r="D208" t="s">
        <v>219</v>
      </c>
      <c r="F208" t="s">
        <v>145</v>
      </c>
    </row>
    <row r="209" spans="1:6">
      <c r="A209" t="s">
        <v>1507</v>
      </c>
      <c r="B209" t="s">
        <v>158</v>
      </c>
      <c r="C209" t="s">
        <v>260</v>
      </c>
      <c r="D209" t="s">
        <v>217</v>
      </c>
      <c r="F209" t="s">
        <v>145</v>
      </c>
    </row>
    <row r="210" spans="1:6">
      <c r="A210" t="s">
        <v>1507</v>
      </c>
      <c r="B210" t="s">
        <v>158</v>
      </c>
      <c r="C210" t="s">
        <v>194</v>
      </c>
      <c r="D210" t="s">
        <v>217</v>
      </c>
      <c r="F210" t="s">
        <v>145</v>
      </c>
    </row>
    <row r="211" spans="1:6">
      <c r="A211" t="s">
        <v>1507</v>
      </c>
      <c r="B211" t="s">
        <v>158</v>
      </c>
      <c r="C211" t="s">
        <v>250</v>
      </c>
      <c r="D211" t="s">
        <v>217</v>
      </c>
      <c r="F211" t="s">
        <v>145</v>
      </c>
    </row>
    <row r="212" spans="1:6">
      <c r="A212" t="s">
        <v>1508</v>
      </c>
      <c r="B212" t="s">
        <v>142</v>
      </c>
      <c r="C212" t="s">
        <v>295</v>
      </c>
      <c r="D212" t="s">
        <v>164</v>
      </c>
      <c r="F212" t="s">
        <v>145</v>
      </c>
    </row>
    <row r="213" spans="1:6">
      <c r="A213" t="s">
        <v>1508</v>
      </c>
      <c r="B213" t="s">
        <v>142</v>
      </c>
      <c r="C213" t="s">
        <v>319</v>
      </c>
      <c r="D213" t="s">
        <v>144</v>
      </c>
      <c r="F213" t="s">
        <v>145</v>
      </c>
    </row>
    <row r="214" spans="1:6">
      <c r="A214" t="s">
        <v>1508</v>
      </c>
      <c r="B214" t="s">
        <v>142</v>
      </c>
      <c r="C214" t="s">
        <v>320</v>
      </c>
      <c r="D214" t="s">
        <v>144</v>
      </c>
      <c r="F214" t="s">
        <v>145</v>
      </c>
    </row>
    <row r="215" spans="1:6">
      <c r="A215" t="s">
        <v>1508</v>
      </c>
      <c r="B215" t="s">
        <v>142</v>
      </c>
      <c r="C215" t="s">
        <v>321</v>
      </c>
      <c r="D215" t="s">
        <v>144</v>
      </c>
      <c r="F215" t="s">
        <v>145</v>
      </c>
    </row>
    <row r="216" spans="1:6">
      <c r="A216" t="s">
        <v>1508</v>
      </c>
      <c r="B216" t="s">
        <v>142</v>
      </c>
      <c r="C216" t="s">
        <v>322</v>
      </c>
      <c r="D216" t="s">
        <v>144</v>
      </c>
      <c r="F216" t="s">
        <v>145</v>
      </c>
    </row>
    <row r="217" spans="1:6">
      <c r="A217" t="s">
        <v>1508</v>
      </c>
      <c r="B217" t="s">
        <v>142</v>
      </c>
      <c r="C217" t="s">
        <v>323</v>
      </c>
      <c r="D217" t="s">
        <v>144</v>
      </c>
      <c r="F217" t="s">
        <v>145</v>
      </c>
    </row>
    <row r="218" spans="1:6">
      <c r="A218" t="s">
        <v>1508</v>
      </c>
      <c r="B218" t="s">
        <v>149</v>
      </c>
      <c r="C218" t="s">
        <v>279</v>
      </c>
      <c r="D218" t="s">
        <v>164</v>
      </c>
      <c r="F218" t="s">
        <v>145</v>
      </c>
    </row>
    <row r="219" spans="1:6">
      <c r="A219" t="s">
        <v>1508</v>
      </c>
      <c r="B219" t="s">
        <v>149</v>
      </c>
      <c r="C219" t="s">
        <v>324</v>
      </c>
      <c r="D219" t="s">
        <v>144</v>
      </c>
      <c r="F219" t="s">
        <v>145</v>
      </c>
    </row>
    <row r="220" spans="1:6">
      <c r="A220" t="s">
        <v>1508</v>
      </c>
      <c r="B220" t="s">
        <v>149</v>
      </c>
      <c r="C220" t="s">
        <v>325</v>
      </c>
      <c r="D220" t="s">
        <v>144</v>
      </c>
      <c r="F220" t="s">
        <v>145</v>
      </c>
    </row>
    <row r="221" spans="1:6">
      <c r="A221" t="s">
        <v>1508</v>
      </c>
      <c r="B221" t="s">
        <v>149</v>
      </c>
      <c r="C221" t="s">
        <v>326</v>
      </c>
      <c r="D221" t="s">
        <v>144</v>
      </c>
      <c r="F221" t="s">
        <v>145</v>
      </c>
    </row>
    <row r="222" spans="1:6">
      <c r="A222" t="s">
        <v>1508</v>
      </c>
      <c r="B222" t="s">
        <v>149</v>
      </c>
      <c r="C222" t="s">
        <v>327</v>
      </c>
      <c r="D222" t="s">
        <v>144</v>
      </c>
      <c r="F222" t="s">
        <v>145</v>
      </c>
    </row>
    <row r="223" spans="1:6">
      <c r="A223" t="s">
        <v>1508</v>
      </c>
      <c r="B223" t="s">
        <v>153</v>
      </c>
      <c r="C223" t="s">
        <v>244</v>
      </c>
      <c r="D223" t="s">
        <v>164</v>
      </c>
      <c r="F223" t="s">
        <v>145</v>
      </c>
    </row>
    <row r="224" spans="1:6">
      <c r="A224" t="s">
        <v>1508</v>
      </c>
      <c r="B224" t="s">
        <v>153</v>
      </c>
      <c r="C224" t="s">
        <v>312</v>
      </c>
      <c r="D224" t="s">
        <v>164</v>
      </c>
      <c r="F224" t="s">
        <v>145</v>
      </c>
    </row>
    <row r="225" spans="1:6">
      <c r="A225" t="s">
        <v>1508</v>
      </c>
      <c r="B225" t="s">
        <v>153</v>
      </c>
      <c r="C225" t="s">
        <v>328</v>
      </c>
      <c r="D225" t="s">
        <v>144</v>
      </c>
      <c r="F225" t="s">
        <v>145</v>
      </c>
    </row>
    <row r="226" spans="1:6">
      <c r="A226" t="s">
        <v>1508</v>
      </c>
      <c r="B226" t="s">
        <v>153</v>
      </c>
      <c r="C226" t="s">
        <v>329</v>
      </c>
      <c r="D226" t="s">
        <v>144</v>
      </c>
      <c r="F226" t="s">
        <v>145</v>
      </c>
    </row>
    <row r="227" spans="1:6">
      <c r="A227" t="s">
        <v>1508</v>
      </c>
      <c r="B227" t="s">
        <v>153</v>
      </c>
      <c r="C227" t="s">
        <v>330</v>
      </c>
      <c r="D227" t="s">
        <v>144</v>
      </c>
      <c r="F227" t="s">
        <v>145</v>
      </c>
    </row>
    <row r="228" spans="1:6">
      <c r="A228" t="s">
        <v>1508</v>
      </c>
      <c r="B228" t="s">
        <v>153</v>
      </c>
      <c r="C228" t="s">
        <v>331</v>
      </c>
      <c r="D228" t="s">
        <v>144</v>
      </c>
      <c r="F228" t="s">
        <v>145</v>
      </c>
    </row>
    <row r="229" spans="1:6">
      <c r="A229" t="s">
        <v>1508</v>
      </c>
      <c r="B229" t="s">
        <v>153</v>
      </c>
      <c r="C229" t="s">
        <v>332</v>
      </c>
      <c r="D229" t="s">
        <v>144</v>
      </c>
      <c r="F229" t="s">
        <v>145</v>
      </c>
    </row>
    <row r="230" spans="1:6">
      <c r="A230" t="s">
        <v>1508</v>
      </c>
      <c r="B230" t="s">
        <v>153</v>
      </c>
      <c r="C230" t="s">
        <v>334</v>
      </c>
      <c r="D230" t="s">
        <v>144</v>
      </c>
      <c r="F230" t="s">
        <v>145</v>
      </c>
    </row>
    <row r="231" spans="1:6">
      <c r="A231" t="s">
        <v>1508</v>
      </c>
      <c r="B231" t="s">
        <v>153</v>
      </c>
      <c r="C231" t="s">
        <v>335</v>
      </c>
      <c r="D231" t="s">
        <v>144</v>
      </c>
      <c r="F231" t="s">
        <v>145</v>
      </c>
    </row>
    <row r="232" spans="1:6">
      <c r="A232" t="s">
        <v>1508</v>
      </c>
      <c r="B232" t="s">
        <v>153</v>
      </c>
      <c r="C232" t="s">
        <v>336</v>
      </c>
      <c r="D232" t="s">
        <v>144</v>
      </c>
      <c r="F232" t="s">
        <v>145</v>
      </c>
    </row>
    <row r="233" spans="1:6">
      <c r="A233" t="s">
        <v>1508</v>
      </c>
      <c r="B233" t="s">
        <v>337</v>
      </c>
      <c r="C233" t="s">
        <v>338</v>
      </c>
      <c r="D233" t="s">
        <v>144</v>
      </c>
      <c r="F233" t="s">
        <v>337</v>
      </c>
    </row>
    <row r="234" spans="1:6">
      <c r="A234" t="s">
        <v>1508</v>
      </c>
      <c r="B234" t="s">
        <v>337</v>
      </c>
      <c r="C234" t="s">
        <v>339</v>
      </c>
      <c r="D234" t="s">
        <v>144</v>
      </c>
      <c r="F234" t="s">
        <v>337</v>
      </c>
    </row>
    <row r="235" spans="1:6">
      <c r="A235" t="s">
        <v>1508</v>
      </c>
      <c r="B235" t="s">
        <v>337</v>
      </c>
      <c r="C235" t="s">
        <v>340</v>
      </c>
      <c r="D235" t="s">
        <v>144</v>
      </c>
      <c r="F235" t="s">
        <v>337</v>
      </c>
    </row>
    <row r="236" spans="1:6">
      <c r="A236" t="s">
        <v>1509</v>
      </c>
      <c r="B236" t="s">
        <v>158</v>
      </c>
      <c r="C236" t="s">
        <v>257</v>
      </c>
      <c r="D236" t="s">
        <v>160</v>
      </c>
      <c r="F236" t="s">
        <v>145</v>
      </c>
    </row>
    <row r="237" spans="1:6">
      <c r="A237" t="s">
        <v>1509</v>
      </c>
      <c r="B237" t="s">
        <v>158</v>
      </c>
      <c r="C237" t="s">
        <v>292</v>
      </c>
      <c r="D237" t="s">
        <v>219</v>
      </c>
      <c r="F237" t="s">
        <v>145</v>
      </c>
    </row>
    <row r="238" spans="1:6">
      <c r="A238" t="s">
        <v>1507</v>
      </c>
      <c r="B238" t="s">
        <v>158</v>
      </c>
      <c r="C238" t="s">
        <v>260</v>
      </c>
      <c r="D238" t="s">
        <v>217</v>
      </c>
      <c r="F238" t="s">
        <v>145</v>
      </c>
    </row>
    <row r="239" spans="1:6">
      <c r="A239" t="s">
        <v>1507</v>
      </c>
      <c r="B239" t="s">
        <v>158</v>
      </c>
      <c r="C239" t="s">
        <v>194</v>
      </c>
      <c r="D239" t="s">
        <v>217</v>
      </c>
      <c r="F239" t="s">
        <v>145</v>
      </c>
    </row>
    <row r="240" spans="1:6">
      <c r="A240" t="s">
        <v>1507</v>
      </c>
      <c r="B240" t="s">
        <v>158</v>
      </c>
      <c r="C240" t="s">
        <v>306</v>
      </c>
      <c r="D240" t="s">
        <v>217</v>
      </c>
      <c r="F240" t="s">
        <v>145</v>
      </c>
    </row>
    <row r="241" spans="1:6">
      <c r="A241" t="s">
        <v>1509</v>
      </c>
      <c r="B241" t="s">
        <v>142</v>
      </c>
      <c r="C241" t="s">
        <v>297</v>
      </c>
      <c r="D241" t="s">
        <v>164</v>
      </c>
      <c r="F241" t="s">
        <v>145</v>
      </c>
    </row>
    <row r="242" spans="1:6">
      <c r="A242" t="s">
        <v>1509</v>
      </c>
      <c r="B242" t="s">
        <v>142</v>
      </c>
      <c r="C242" t="s">
        <v>342</v>
      </c>
      <c r="D242" t="s">
        <v>144</v>
      </c>
      <c r="F242" t="s">
        <v>145</v>
      </c>
    </row>
    <row r="243" spans="1:6">
      <c r="A243" t="s">
        <v>1509</v>
      </c>
      <c r="B243" t="s">
        <v>142</v>
      </c>
      <c r="C243" t="s">
        <v>343</v>
      </c>
      <c r="D243" t="s">
        <v>144</v>
      </c>
      <c r="F243" t="s">
        <v>145</v>
      </c>
    </row>
    <row r="244" spans="1:6">
      <c r="A244" t="s">
        <v>1509</v>
      </c>
      <c r="B244" t="s">
        <v>142</v>
      </c>
      <c r="C244" t="s">
        <v>344</v>
      </c>
      <c r="D244" t="s">
        <v>144</v>
      </c>
      <c r="F244" t="s">
        <v>145</v>
      </c>
    </row>
    <row r="245" spans="1:6">
      <c r="A245" t="s">
        <v>1509</v>
      </c>
      <c r="B245" t="s">
        <v>142</v>
      </c>
      <c r="C245" t="s">
        <v>345</v>
      </c>
      <c r="D245" t="s">
        <v>144</v>
      </c>
      <c r="F245" t="s">
        <v>145</v>
      </c>
    </row>
    <row r="246" spans="1:6">
      <c r="A246" t="s">
        <v>1509</v>
      </c>
      <c r="B246" t="s">
        <v>149</v>
      </c>
      <c r="C246" t="s">
        <v>301</v>
      </c>
      <c r="D246" t="s">
        <v>164</v>
      </c>
      <c r="F246" t="s">
        <v>145</v>
      </c>
    </row>
    <row r="247" spans="1:6">
      <c r="A247" t="s">
        <v>1509</v>
      </c>
      <c r="B247" t="s">
        <v>149</v>
      </c>
      <c r="C247" t="s">
        <v>331</v>
      </c>
      <c r="D247" t="s">
        <v>164</v>
      </c>
      <c r="F247" t="s">
        <v>145</v>
      </c>
    </row>
    <row r="248" spans="1:6">
      <c r="A248" t="s">
        <v>1509</v>
      </c>
      <c r="B248" t="s">
        <v>149</v>
      </c>
      <c r="C248" t="s">
        <v>346</v>
      </c>
      <c r="D248" t="s">
        <v>144</v>
      </c>
      <c r="F248" t="s">
        <v>145</v>
      </c>
    </row>
    <row r="249" spans="1:6">
      <c r="A249" t="s">
        <v>1509</v>
      </c>
      <c r="B249" t="s">
        <v>149</v>
      </c>
      <c r="C249" t="s">
        <v>347</v>
      </c>
      <c r="D249" t="s">
        <v>144</v>
      </c>
      <c r="F249" t="s">
        <v>145</v>
      </c>
    </row>
    <row r="250" spans="1:6">
      <c r="A250" t="s">
        <v>1509</v>
      </c>
      <c r="B250" t="s">
        <v>149</v>
      </c>
      <c r="C250" t="s">
        <v>348</v>
      </c>
      <c r="D250" t="s">
        <v>144</v>
      </c>
      <c r="F250" t="s">
        <v>145</v>
      </c>
    </row>
    <row r="251" spans="1:6">
      <c r="A251" t="s">
        <v>1509</v>
      </c>
      <c r="B251" t="s">
        <v>149</v>
      </c>
      <c r="C251" t="s">
        <v>349</v>
      </c>
      <c r="D251" t="s">
        <v>144</v>
      </c>
      <c r="F251" t="s">
        <v>145</v>
      </c>
    </row>
    <row r="252" spans="1:6">
      <c r="A252" t="s">
        <v>1509</v>
      </c>
      <c r="B252" t="s">
        <v>149</v>
      </c>
      <c r="C252" t="s">
        <v>350</v>
      </c>
      <c r="D252" t="s">
        <v>144</v>
      </c>
      <c r="F252" t="s">
        <v>145</v>
      </c>
    </row>
    <row r="253" spans="1:6">
      <c r="A253" t="s">
        <v>1509</v>
      </c>
      <c r="B253" t="s">
        <v>149</v>
      </c>
      <c r="C253" t="s">
        <v>351</v>
      </c>
      <c r="D253" t="s">
        <v>144</v>
      </c>
      <c r="F253" t="s">
        <v>145</v>
      </c>
    </row>
    <row r="254" spans="1:6">
      <c r="A254" t="s">
        <v>1509</v>
      </c>
      <c r="B254" t="s">
        <v>149</v>
      </c>
      <c r="C254" t="s">
        <v>352</v>
      </c>
      <c r="D254" t="s">
        <v>144</v>
      </c>
      <c r="F254" t="s">
        <v>145</v>
      </c>
    </row>
    <row r="255" spans="1:6">
      <c r="A255" t="s">
        <v>1509</v>
      </c>
      <c r="B255" t="s">
        <v>149</v>
      </c>
      <c r="C255" t="s">
        <v>353</v>
      </c>
      <c r="D255" t="s">
        <v>144</v>
      </c>
      <c r="F255" t="s">
        <v>145</v>
      </c>
    </row>
    <row r="256" spans="1:6">
      <c r="A256" t="s">
        <v>1509</v>
      </c>
      <c r="B256" t="s">
        <v>149</v>
      </c>
      <c r="C256" t="s">
        <v>354</v>
      </c>
      <c r="D256" t="s">
        <v>144</v>
      </c>
      <c r="F256" t="s">
        <v>145</v>
      </c>
    </row>
    <row r="257" spans="1:6">
      <c r="A257" t="s">
        <v>1509</v>
      </c>
      <c r="B257" t="s">
        <v>149</v>
      </c>
      <c r="C257" t="s">
        <v>355</v>
      </c>
      <c r="D257" t="s">
        <v>144</v>
      </c>
      <c r="F257" t="s">
        <v>145</v>
      </c>
    </row>
    <row r="258" spans="1:6">
      <c r="A258" t="s">
        <v>1509</v>
      </c>
      <c r="B258" t="s">
        <v>153</v>
      </c>
      <c r="C258" t="s">
        <v>309</v>
      </c>
      <c r="D258" t="s">
        <v>164</v>
      </c>
      <c r="F258" t="s">
        <v>145</v>
      </c>
    </row>
    <row r="259" spans="1:6">
      <c r="A259" t="s">
        <v>1509</v>
      </c>
      <c r="B259" t="s">
        <v>153</v>
      </c>
      <c r="C259" t="s">
        <v>356</v>
      </c>
      <c r="D259" t="s">
        <v>144</v>
      </c>
      <c r="F259" t="s">
        <v>145</v>
      </c>
    </row>
    <row r="260" spans="1:6">
      <c r="A260" t="s">
        <v>1509</v>
      </c>
      <c r="B260" t="s">
        <v>153</v>
      </c>
      <c r="C260" t="s">
        <v>357</v>
      </c>
      <c r="D260" t="s">
        <v>144</v>
      </c>
      <c r="F260" t="s">
        <v>145</v>
      </c>
    </row>
    <row r="261" spans="1:6">
      <c r="A261" t="s">
        <v>1509</v>
      </c>
      <c r="B261" t="s">
        <v>153</v>
      </c>
      <c r="C261" t="s">
        <v>358</v>
      </c>
      <c r="D261" t="s">
        <v>144</v>
      </c>
      <c r="F261" t="s">
        <v>145</v>
      </c>
    </row>
    <row r="262" spans="1:6">
      <c r="A262" t="s">
        <v>1509</v>
      </c>
      <c r="B262" t="s">
        <v>153</v>
      </c>
      <c r="C262" t="s">
        <v>359</v>
      </c>
      <c r="D262" t="s">
        <v>144</v>
      </c>
      <c r="F262" t="s">
        <v>145</v>
      </c>
    </row>
    <row r="263" spans="1:6">
      <c r="A263" t="s">
        <v>1509</v>
      </c>
      <c r="B263" t="s">
        <v>337</v>
      </c>
      <c r="C263" t="s">
        <v>339</v>
      </c>
      <c r="D263" t="s">
        <v>164</v>
      </c>
      <c r="F263" t="s">
        <v>337</v>
      </c>
    </row>
    <row r="264" spans="1:6">
      <c r="A264" t="s">
        <v>1509</v>
      </c>
      <c r="B264" t="s">
        <v>337</v>
      </c>
      <c r="C264" t="s">
        <v>360</v>
      </c>
      <c r="D264" t="s">
        <v>144</v>
      </c>
      <c r="F264" t="s">
        <v>337</v>
      </c>
    </row>
    <row r="265" spans="1:6">
      <c r="A265" t="s">
        <v>1509</v>
      </c>
      <c r="B265" t="s">
        <v>337</v>
      </c>
      <c r="C265" t="s">
        <v>361</v>
      </c>
      <c r="D265" t="s">
        <v>144</v>
      </c>
      <c r="F265" t="s">
        <v>337</v>
      </c>
    </row>
    <row r="266" spans="1:6">
      <c r="A266" t="s">
        <v>1509</v>
      </c>
      <c r="B266" t="s">
        <v>337</v>
      </c>
      <c r="C266" t="s">
        <v>362</v>
      </c>
      <c r="D266" t="s">
        <v>144</v>
      </c>
      <c r="F266" t="s">
        <v>337</v>
      </c>
    </row>
    <row r="267" spans="1:6">
      <c r="A267" t="s">
        <v>1509</v>
      </c>
      <c r="B267" t="s">
        <v>337</v>
      </c>
      <c r="C267" t="s">
        <v>363</v>
      </c>
      <c r="D267" t="s">
        <v>144</v>
      </c>
      <c r="F267" t="s">
        <v>337</v>
      </c>
    </row>
    <row r="268" spans="1:6">
      <c r="A268" t="s">
        <v>1509</v>
      </c>
      <c r="B268" t="s">
        <v>158</v>
      </c>
      <c r="C268" t="s">
        <v>257</v>
      </c>
      <c r="D268" t="s">
        <v>160</v>
      </c>
      <c r="F268" t="s">
        <v>145</v>
      </c>
    </row>
    <row r="269" spans="1:6">
      <c r="A269" t="s">
        <v>1509</v>
      </c>
      <c r="B269" t="s">
        <v>158</v>
      </c>
      <c r="C269" t="s">
        <v>292</v>
      </c>
      <c r="D269" t="s">
        <v>219</v>
      </c>
      <c r="F269" t="s">
        <v>145</v>
      </c>
    </row>
    <row r="270" spans="1:6">
      <c r="A270" t="s">
        <v>1509</v>
      </c>
      <c r="B270" t="s">
        <v>158</v>
      </c>
      <c r="C270" t="s">
        <v>260</v>
      </c>
      <c r="D270" t="s">
        <v>217</v>
      </c>
      <c r="F270" t="s">
        <v>145</v>
      </c>
    </row>
    <row r="271" spans="1:6">
      <c r="A271" t="s">
        <v>1509</v>
      </c>
      <c r="B271" t="s">
        <v>158</v>
      </c>
      <c r="C271" t="s">
        <v>282</v>
      </c>
      <c r="D271" t="s">
        <v>217</v>
      </c>
      <c r="F271" t="s">
        <v>145</v>
      </c>
    </row>
    <row r="272" spans="1:6">
      <c r="A272" t="s">
        <v>1509</v>
      </c>
      <c r="B272" t="s">
        <v>158</v>
      </c>
      <c r="C272" t="s">
        <v>237</v>
      </c>
      <c r="D272" t="s">
        <v>217</v>
      </c>
      <c r="F272" t="s">
        <v>145</v>
      </c>
    </row>
    <row r="273" spans="1:6">
      <c r="A273" t="s">
        <v>1509</v>
      </c>
      <c r="B273" t="s">
        <v>158</v>
      </c>
      <c r="C273" t="s">
        <v>306</v>
      </c>
      <c r="D273" t="s">
        <v>217</v>
      </c>
      <c r="F273" t="s">
        <v>145</v>
      </c>
    </row>
    <row r="274" spans="1:6">
      <c r="A274" t="s">
        <v>1510</v>
      </c>
      <c r="B274" t="s">
        <v>142</v>
      </c>
      <c r="C274" t="s">
        <v>344</v>
      </c>
      <c r="D274" t="s">
        <v>164</v>
      </c>
      <c r="F274" t="s">
        <v>145</v>
      </c>
    </row>
    <row r="275" spans="1:6">
      <c r="A275" t="s">
        <v>1510</v>
      </c>
      <c r="B275" t="s">
        <v>142</v>
      </c>
      <c r="C275" t="s">
        <v>365</v>
      </c>
      <c r="D275" t="s">
        <v>144</v>
      </c>
      <c r="F275" t="s">
        <v>145</v>
      </c>
    </row>
    <row r="276" spans="1:6">
      <c r="A276" t="s">
        <v>1510</v>
      </c>
      <c r="B276" t="s">
        <v>142</v>
      </c>
      <c r="C276" t="s">
        <v>366</v>
      </c>
      <c r="D276" t="s">
        <v>144</v>
      </c>
      <c r="F276" t="s">
        <v>145</v>
      </c>
    </row>
    <row r="277" spans="1:6">
      <c r="A277" t="s">
        <v>1510</v>
      </c>
      <c r="B277" t="s">
        <v>142</v>
      </c>
      <c r="C277" t="s">
        <v>367</v>
      </c>
      <c r="D277" t="s">
        <v>144</v>
      </c>
      <c r="F277" t="s">
        <v>145</v>
      </c>
    </row>
    <row r="278" spans="1:6">
      <c r="A278" t="s">
        <v>1510</v>
      </c>
      <c r="B278" t="s">
        <v>142</v>
      </c>
      <c r="C278" t="s">
        <v>368</v>
      </c>
      <c r="D278" t="s">
        <v>144</v>
      </c>
      <c r="F278" t="s">
        <v>145</v>
      </c>
    </row>
    <row r="279" spans="1:6">
      <c r="A279" t="s">
        <v>1510</v>
      </c>
      <c r="B279" t="s">
        <v>149</v>
      </c>
      <c r="C279" t="s">
        <v>348</v>
      </c>
      <c r="D279" t="s">
        <v>164</v>
      </c>
      <c r="F279" t="s">
        <v>145</v>
      </c>
    </row>
    <row r="280" spans="1:6">
      <c r="A280" t="s">
        <v>1510</v>
      </c>
      <c r="B280" t="s">
        <v>149</v>
      </c>
      <c r="C280" t="s">
        <v>350</v>
      </c>
      <c r="D280" t="s">
        <v>164</v>
      </c>
      <c r="F280" t="s">
        <v>145</v>
      </c>
    </row>
    <row r="281" spans="1:6">
      <c r="A281" t="s">
        <v>1510</v>
      </c>
      <c r="B281" t="s">
        <v>149</v>
      </c>
      <c r="C281" t="s">
        <v>369</v>
      </c>
      <c r="D281" t="s">
        <v>144</v>
      </c>
      <c r="F281" t="s">
        <v>145</v>
      </c>
    </row>
    <row r="282" spans="1:6">
      <c r="A282" t="s">
        <v>1510</v>
      </c>
      <c r="B282" t="s">
        <v>149</v>
      </c>
      <c r="C282" t="s">
        <v>370</v>
      </c>
      <c r="D282" t="s">
        <v>144</v>
      </c>
      <c r="F282" t="s">
        <v>145</v>
      </c>
    </row>
    <row r="283" spans="1:6">
      <c r="A283" t="s">
        <v>1510</v>
      </c>
      <c r="B283" t="s">
        <v>149</v>
      </c>
      <c r="C283" t="s">
        <v>371</v>
      </c>
      <c r="D283" t="s">
        <v>144</v>
      </c>
      <c r="F283" t="s">
        <v>145</v>
      </c>
    </row>
    <row r="284" spans="1:6">
      <c r="A284" t="s">
        <v>1510</v>
      </c>
      <c r="B284" t="s">
        <v>149</v>
      </c>
      <c r="C284" t="s">
        <v>372</v>
      </c>
      <c r="D284" t="s">
        <v>144</v>
      </c>
      <c r="F284" t="s">
        <v>145</v>
      </c>
    </row>
    <row r="285" spans="1:6">
      <c r="A285" t="s">
        <v>1510</v>
      </c>
      <c r="B285" t="s">
        <v>149</v>
      </c>
      <c r="C285" t="s">
        <v>373</v>
      </c>
      <c r="D285" t="s">
        <v>144</v>
      </c>
      <c r="F285" t="s">
        <v>145</v>
      </c>
    </row>
    <row r="286" spans="1:6">
      <c r="A286" t="s">
        <v>1510</v>
      </c>
      <c r="B286" t="s">
        <v>149</v>
      </c>
      <c r="C286" t="s">
        <v>374</v>
      </c>
      <c r="D286" t="s">
        <v>144</v>
      </c>
      <c r="F286" t="s">
        <v>145</v>
      </c>
    </row>
    <row r="287" spans="1:6">
      <c r="A287" t="s">
        <v>1510</v>
      </c>
      <c r="B287" t="s">
        <v>149</v>
      </c>
      <c r="C287" t="s">
        <v>375</v>
      </c>
      <c r="D287" t="s">
        <v>144</v>
      </c>
      <c r="F287" t="s">
        <v>145</v>
      </c>
    </row>
    <row r="288" spans="1:6">
      <c r="A288" t="s">
        <v>1510</v>
      </c>
      <c r="B288" t="s">
        <v>149</v>
      </c>
      <c r="C288" t="s">
        <v>376</v>
      </c>
      <c r="D288" t="s">
        <v>144</v>
      </c>
      <c r="F288" t="s">
        <v>145</v>
      </c>
    </row>
    <row r="289" spans="1:6">
      <c r="A289" t="s">
        <v>1510</v>
      </c>
      <c r="B289" t="s">
        <v>153</v>
      </c>
      <c r="C289" t="s">
        <v>355</v>
      </c>
      <c r="D289" t="s">
        <v>164</v>
      </c>
      <c r="F289" t="s">
        <v>145</v>
      </c>
    </row>
    <row r="290" spans="1:6">
      <c r="A290" t="s">
        <v>1510</v>
      </c>
      <c r="B290" t="s">
        <v>153</v>
      </c>
      <c r="C290" t="s">
        <v>377</v>
      </c>
      <c r="D290" t="s">
        <v>144</v>
      </c>
      <c r="F290" t="s">
        <v>145</v>
      </c>
    </row>
    <row r="291" spans="1:6">
      <c r="A291" t="s">
        <v>1510</v>
      </c>
      <c r="B291" t="s">
        <v>153</v>
      </c>
      <c r="C291" t="s">
        <v>378</v>
      </c>
      <c r="D291" t="s">
        <v>144</v>
      </c>
      <c r="F291" t="s">
        <v>145</v>
      </c>
    </row>
    <row r="292" spans="1:6">
      <c r="A292" t="s">
        <v>1510</v>
      </c>
      <c r="B292" t="s">
        <v>153</v>
      </c>
      <c r="C292" t="s">
        <v>379</v>
      </c>
      <c r="D292" t="s">
        <v>144</v>
      </c>
      <c r="F292" t="s">
        <v>145</v>
      </c>
    </row>
    <row r="293" spans="1:6">
      <c r="A293" t="s">
        <v>1510</v>
      </c>
      <c r="B293" t="s">
        <v>153</v>
      </c>
      <c r="C293" t="s">
        <v>380</v>
      </c>
      <c r="D293" t="s">
        <v>144</v>
      </c>
      <c r="F293" t="s">
        <v>337</v>
      </c>
    </row>
    <row r="294" spans="1:6">
      <c r="A294" t="s">
        <v>1510</v>
      </c>
      <c r="B294" t="s">
        <v>337</v>
      </c>
      <c r="C294" t="s">
        <v>362</v>
      </c>
      <c r="D294" t="s">
        <v>164</v>
      </c>
      <c r="F294" t="s">
        <v>337</v>
      </c>
    </row>
    <row r="295" spans="1:6">
      <c r="A295" t="s">
        <v>1510</v>
      </c>
      <c r="B295" t="s">
        <v>337</v>
      </c>
      <c r="C295" t="s">
        <v>381</v>
      </c>
      <c r="D295" t="s">
        <v>144</v>
      </c>
      <c r="F295" t="s">
        <v>337</v>
      </c>
    </row>
    <row r="296" spans="1:6">
      <c r="A296" t="s">
        <v>1510</v>
      </c>
      <c r="B296" t="s">
        <v>337</v>
      </c>
      <c r="C296" t="s">
        <v>382</v>
      </c>
      <c r="D296" t="s">
        <v>144</v>
      </c>
      <c r="F296" t="s">
        <v>337</v>
      </c>
    </row>
    <row r="297" spans="1:6">
      <c r="A297" t="s">
        <v>1510</v>
      </c>
      <c r="B297" t="s">
        <v>337</v>
      </c>
      <c r="C297" t="s">
        <v>383</v>
      </c>
      <c r="D297" t="s">
        <v>144</v>
      </c>
      <c r="F297" t="s">
        <v>145</v>
      </c>
    </row>
    <row r="298" spans="1:6">
      <c r="A298" t="s">
        <v>1510</v>
      </c>
      <c r="B298" t="s">
        <v>384</v>
      </c>
      <c r="C298" t="s">
        <v>385</v>
      </c>
      <c r="D298" t="s">
        <v>144</v>
      </c>
      <c r="F298" t="s">
        <v>145</v>
      </c>
    </row>
    <row r="299" spans="1:6">
      <c r="A299" t="s">
        <v>1510</v>
      </c>
      <c r="B299" t="s">
        <v>384</v>
      </c>
      <c r="C299" t="s">
        <v>386</v>
      </c>
      <c r="D299" t="s">
        <v>144</v>
      </c>
      <c r="F299" t="s">
        <v>145</v>
      </c>
    </row>
    <row r="300" spans="1:6">
      <c r="A300" t="s">
        <v>1510</v>
      </c>
      <c r="B300" t="s">
        <v>158</v>
      </c>
      <c r="C300" t="s">
        <v>257</v>
      </c>
      <c r="D300" t="s">
        <v>160</v>
      </c>
      <c r="F300" t="s">
        <v>145</v>
      </c>
    </row>
    <row r="301" spans="1:6">
      <c r="A301" t="s">
        <v>1510</v>
      </c>
      <c r="B301" t="s">
        <v>158</v>
      </c>
      <c r="C301" t="s">
        <v>292</v>
      </c>
      <c r="D301" t="s">
        <v>219</v>
      </c>
      <c r="F301" t="s">
        <v>145</v>
      </c>
    </row>
    <row r="302" spans="1:6">
      <c r="A302" t="s">
        <v>1510</v>
      </c>
      <c r="B302" t="s">
        <v>158</v>
      </c>
      <c r="C302" t="s">
        <v>260</v>
      </c>
      <c r="D302" t="s">
        <v>217</v>
      </c>
      <c r="F302" t="s">
        <v>145</v>
      </c>
    </row>
    <row r="303" spans="1:6">
      <c r="A303" t="s">
        <v>1510</v>
      </c>
      <c r="B303" t="s">
        <v>158</v>
      </c>
      <c r="C303" t="s">
        <v>282</v>
      </c>
      <c r="D303" t="s">
        <v>217</v>
      </c>
      <c r="F303" t="s">
        <v>145</v>
      </c>
    </row>
    <row r="304" spans="1:6">
      <c r="A304" t="s">
        <v>1510</v>
      </c>
      <c r="B304" t="s">
        <v>158</v>
      </c>
      <c r="C304" t="s">
        <v>237</v>
      </c>
      <c r="D304" t="s">
        <v>217</v>
      </c>
      <c r="F304" t="s">
        <v>145</v>
      </c>
    </row>
    <row r="305" spans="1:6">
      <c r="A305" t="s">
        <v>1510</v>
      </c>
      <c r="B305" t="s">
        <v>158</v>
      </c>
      <c r="C305" t="s">
        <v>306</v>
      </c>
      <c r="D305" t="s">
        <v>217</v>
      </c>
      <c r="F305" t="s">
        <v>145</v>
      </c>
    </row>
    <row r="306" spans="1:6">
      <c r="A306" t="s">
        <v>1511</v>
      </c>
      <c r="B306" t="s">
        <v>142</v>
      </c>
      <c r="C306" t="s">
        <v>279</v>
      </c>
      <c r="D306" t="s">
        <v>164</v>
      </c>
      <c r="F306" t="s">
        <v>145</v>
      </c>
    </row>
    <row r="307" spans="1:6">
      <c r="A307" t="s">
        <v>1511</v>
      </c>
      <c r="B307" t="s">
        <v>142</v>
      </c>
      <c r="C307" t="s">
        <v>388</v>
      </c>
      <c r="D307" t="s">
        <v>144</v>
      </c>
      <c r="F307" t="s">
        <v>145</v>
      </c>
    </row>
    <row r="308" spans="1:6">
      <c r="A308" t="s">
        <v>1511</v>
      </c>
      <c r="B308" t="s">
        <v>142</v>
      </c>
      <c r="C308" t="s">
        <v>389</v>
      </c>
      <c r="D308" t="s">
        <v>144</v>
      </c>
      <c r="F308" t="s">
        <v>145</v>
      </c>
    </row>
    <row r="309" spans="1:6">
      <c r="A309" t="s">
        <v>1511</v>
      </c>
      <c r="B309" t="s">
        <v>142</v>
      </c>
      <c r="C309" t="s">
        <v>390</v>
      </c>
      <c r="D309" t="s">
        <v>144</v>
      </c>
      <c r="F309" t="s">
        <v>145</v>
      </c>
    </row>
    <row r="310" spans="1:6">
      <c r="A310" t="s">
        <v>1511</v>
      </c>
      <c r="B310" t="s">
        <v>142</v>
      </c>
      <c r="C310" t="s">
        <v>391</v>
      </c>
      <c r="D310" t="s">
        <v>144</v>
      </c>
      <c r="F310" t="s">
        <v>145</v>
      </c>
    </row>
    <row r="311" spans="1:6">
      <c r="A311" t="s">
        <v>1511</v>
      </c>
      <c r="B311" t="s">
        <v>149</v>
      </c>
      <c r="C311" t="s">
        <v>342</v>
      </c>
      <c r="D311" t="s">
        <v>164</v>
      </c>
      <c r="F311" t="s">
        <v>145</v>
      </c>
    </row>
    <row r="312" spans="1:6">
      <c r="A312" t="s">
        <v>1511</v>
      </c>
      <c r="B312" t="s">
        <v>149</v>
      </c>
      <c r="C312" t="s">
        <v>392</v>
      </c>
      <c r="D312" t="s">
        <v>144</v>
      </c>
      <c r="F312" t="s">
        <v>145</v>
      </c>
    </row>
    <row r="313" spans="1:6">
      <c r="A313" t="s">
        <v>1511</v>
      </c>
      <c r="B313" t="s">
        <v>149</v>
      </c>
      <c r="C313" t="s">
        <v>393</v>
      </c>
      <c r="D313" t="s">
        <v>144</v>
      </c>
      <c r="F313" t="s">
        <v>145</v>
      </c>
    </row>
    <row r="314" spans="1:6">
      <c r="A314" t="s">
        <v>1511</v>
      </c>
      <c r="B314" t="s">
        <v>149</v>
      </c>
      <c r="C314" t="s">
        <v>394</v>
      </c>
      <c r="D314" t="s">
        <v>144</v>
      </c>
      <c r="F314" t="s">
        <v>145</v>
      </c>
    </row>
    <row r="315" spans="1:6">
      <c r="A315" t="s">
        <v>1511</v>
      </c>
      <c r="B315" t="s">
        <v>149</v>
      </c>
      <c r="C315" t="s">
        <v>395</v>
      </c>
      <c r="D315" t="s">
        <v>144</v>
      </c>
      <c r="F315" t="s">
        <v>145</v>
      </c>
    </row>
    <row r="316" spans="1:6">
      <c r="A316" t="s">
        <v>1511</v>
      </c>
      <c r="B316" t="s">
        <v>153</v>
      </c>
      <c r="C316" t="s">
        <v>368</v>
      </c>
      <c r="D316" t="s">
        <v>164</v>
      </c>
      <c r="F316" t="s">
        <v>145</v>
      </c>
    </row>
    <row r="317" spans="1:6">
      <c r="A317" t="s">
        <v>1511</v>
      </c>
      <c r="B317" t="s">
        <v>153</v>
      </c>
      <c r="C317" t="s">
        <v>369</v>
      </c>
      <c r="D317" t="s">
        <v>164</v>
      </c>
      <c r="F317" t="s">
        <v>145</v>
      </c>
    </row>
    <row r="318" spans="1:6">
      <c r="A318" t="s">
        <v>1511</v>
      </c>
      <c r="B318" t="s">
        <v>153</v>
      </c>
      <c r="C318" t="s">
        <v>396</v>
      </c>
      <c r="D318" t="s">
        <v>144</v>
      </c>
      <c r="F318" t="s">
        <v>145</v>
      </c>
    </row>
    <row r="319" spans="1:6">
      <c r="A319" t="s">
        <v>1511</v>
      </c>
      <c r="B319" t="s">
        <v>153</v>
      </c>
      <c r="C319" t="s">
        <v>397</v>
      </c>
      <c r="D319" t="s">
        <v>144</v>
      </c>
      <c r="F319" t="s">
        <v>145</v>
      </c>
    </row>
    <row r="320" spans="1:6">
      <c r="A320" t="s">
        <v>1511</v>
      </c>
      <c r="B320" t="s">
        <v>153</v>
      </c>
      <c r="C320" t="s">
        <v>398</v>
      </c>
      <c r="D320" t="s">
        <v>144</v>
      </c>
      <c r="F320" t="s">
        <v>145</v>
      </c>
    </row>
    <row r="321" spans="1:6">
      <c r="A321" t="s">
        <v>1511</v>
      </c>
      <c r="B321" t="s">
        <v>153</v>
      </c>
      <c r="C321" t="s">
        <v>399</v>
      </c>
      <c r="D321" t="s">
        <v>144</v>
      </c>
      <c r="F321" t="s">
        <v>145</v>
      </c>
    </row>
    <row r="322" spans="1:6">
      <c r="A322" t="s">
        <v>1511</v>
      </c>
      <c r="B322" t="s">
        <v>153</v>
      </c>
      <c r="C322" t="s">
        <v>400</v>
      </c>
      <c r="D322" t="s">
        <v>144</v>
      </c>
      <c r="F322" t="s">
        <v>145</v>
      </c>
    </row>
    <row r="323" spans="1:6">
      <c r="A323" t="s">
        <v>1511</v>
      </c>
      <c r="B323" t="s">
        <v>153</v>
      </c>
      <c r="C323" t="s">
        <v>401</v>
      </c>
      <c r="D323" t="s">
        <v>144</v>
      </c>
      <c r="F323" t="s">
        <v>145</v>
      </c>
    </row>
    <row r="324" spans="1:6">
      <c r="A324" t="s">
        <v>1511</v>
      </c>
      <c r="B324" t="s">
        <v>337</v>
      </c>
      <c r="C324" t="s">
        <v>382</v>
      </c>
      <c r="D324" t="s">
        <v>164</v>
      </c>
      <c r="F324" t="s">
        <v>337</v>
      </c>
    </row>
    <row r="325" spans="1:6">
      <c r="A325" t="s">
        <v>1511</v>
      </c>
      <c r="B325" t="s">
        <v>337</v>
      </c>
      <c r="C325" t="s">
        <v>402</v>
      </c>
      <c r="D325" t="s">
        <v>144</v>
      </c>
      <c r="F325" t="s">
        <v>337</v>
      </c>
    </row>
    <row r="326" spans="1:6">
      <c r="A326" t="s">
        <v>1511</v>
      </c>
      <c r="B326" t="s">
        <v>337</v>
      </c>
      <c r="C326" t="s">
        <v>403</v>
      </c>
      <c r="D326" t="s">
        <v>144</v>
      </c>
      <c r="F326" t="s">
        <v>337</v>
      </c>
    </row>
    <row r="327" spans="1:6">
      <c r="A327" t="s">
        <v>1511</v>
      </c>
      <c r="B327" t="s">
        <v>337</v>
      </c>
      <c r="C327" t="s">
        <v>404</v>
      </c>
      <c r="D327" t="s">
        <v>144</v>
      </c>
      <c r="F327" t="s">
        <v>337</v>
      </c>
    </row>
    <row r="328" spans="1:6">
      <c r="A328" t="s">
        <v>1511</v>
      </c>
      <c r="B328" t="s">
        <v>384</v>
      </c>
      <c r="C328" t="s">
        <v>385</v>
      </c>
      <c r="D328" t="s">
        <v>164</v>
      </c>
      <c r="F328" t="s">
        <v>145</v>
      </c>
    </row>
    <row r="329" spans="1:6">
      <c r="A329" t="s">
        <v>1511</v>
      </c>
      <c r="B329" t="s">
        <v>384</v>
      </c>
      <c r="C329" t="s">
        <v>386</v>
      </c>
      <c r="D329" t="s">
        <v>164</v>
      </c>
      <c r="F329" t="s">
        <v>145</v>
      </c>
    </row>
    <row r="330" spans="1:6">
      <c r="A330" t="s">
        <v>1511</v>
      </c>
      <c r="B330" t="s">
        <v>384</v>
      </c>
      <c r="C330" t="s">
        <v>405</v>
      </c>
      <c r="D330" t="s">
        <v>144</v>
      </c>
      <c r="F330" t="s">
        <v>145</v>
      </c>
    </row>
    <row r="331" spans="1:6">
      <c r="A331" t="s">
        <v>1511</v>
      </c>
      <c r="B331" t="s">
        <v>384</v>
      </c>
      <c r="C331" t="s">
        <v>406</v>
      </c>
      <c r="D331" t="s">
        <v>144</v>
      </c>
      <c r="F331" t="s">
        <v>145</v>
      </c>
    </row>
    <row r="332" spans="1:6">
      <c r="A332" t="s">
        <v>1511</v>
      </c>
      <c r="B332" t="s">
        <v>384</v>
      </c>
      <c r="C332" t="s">
        <v>407</v>
      </c>
      <c r="D332" t="s">
        <v>144</v>
      </c>
      <c r="F332" t="s">
        <v>145</v>
      </c>
    </row>
    <row r="333" spans="1:6">
      <c r="A333" t="s">
        <v>1511</v>
      </c>
      <c r="B333" t="s">
        <v>158</v>
      </c>
      <c r="C333" t="s">
        <v>257</v>
      </c>
      <c r="D333" t="s">
        <v>160</v>
      </c>
      <c r="F333" t="s">
        <v>145</v>
      </c>
    </row>
    <row r="334" spans="1:6">
      <c r="A334" t="s">
        <v>1511</v>
      </c>
      <c r="B334" t="s">
        <v>158</v>
      </c>
      <c r="C334" t="s">
        <v>408</v>
      </c>
      <c r="D334" t="s">
        <v>409</v>
      </c>
      <c r="F334" t="s">
        <v>145</v>
      </c>
    </row>
    <row r="335" spans="1:6">
      <c r="A335" t="s">
        <v>1511</v>
      </c>
      <c r="B335" t="s">
        <v>158</v>
      </c>
      <c r="C335" t="s">
        <v>282</v>
      </c>
      <c r="D335" t="s">
        <v>162</v>
      </c>
      <c r="F335" t="s">
        <v>145</v>
      </c>
    </row>
    <row r="336" spans="1:6">
      <c r="A336" t="s">
        <v>1511</v>
      </c>
      <c r="B336" t="s">
        <v>158</v>
      </c>
      <c r="C336" t="s">
        <v>237</v>
      </c>
      <c r="D336" t="s">
        <v>162</v>
      </c>
      <c r="F336" t="s">
        <v>145</v>
      </c>
    </row>
    <row r="337" spans="1:6">
      <c r="A337" t="s">
        <v>1511</v>
      </c>
      <c r="B337" t="s">
        <v>158</v>
      </c>
      <c r="C337" t="s">
        <v>260</v>
      </c>
      <c r="D337" t="s">
        <v>217</v>
      </c>
      <c r="F337" t="s">
        <v>145</v>
      </c>
    </row>
    <row r="338" spans="1:6">
      <c r="A338" t="s">
        <v>1511</v>
      </c>
      <c r="B338" t="s">
        <v>158</v>
      </c>
      <c r="C338" t="s">
        <v>306</v>
      </c>
      <c r="D338" t="s">
        <v>217</v>
      </c>
      <c r="F338" t="s">
        <v>145</v>
      </c>
    </row>
    <row r="339" spans="1:6">
      <c r="A339" t="s">
        <v>1511</v>
      </c>
      <c r="B339" t="s">
        <v>158</v>
      </c>
      <c r="C339" t="s">
        <v>350</v>
      </c>
      <c r="D339" t="s">
        <v>217</v>
      </c>
      <c r="F339" t="s">
        <v>145</v>
      </c>
    </row>
    <row r="340" spans="1:6">
      <c r="A340" t="s">
        <v>1511</v>
      </c>
      <c r="B340" t="s">
        <v>158</v>
      </c>
      <c r="C340" t="s">
        <v>366</v>
      </c>
      <c r="D340" t="s">
        <v>217</v>
      </c>
      <c r="F340" t="s">
        <v>145</v>
      </c>
    </row>
    <row r="341" spans="1:6">
      <c r="A341" t="s">
        <v>1512</v>
      </c>
      <c r="B341" t="s">
        <v>142</v>
      </c>
      <c r="C341" t="s">
        <v>319</v>
      </c>
      <c r="D341" t="s">
        <v>164</v>
      </c>
      <c r="F341" t="s">
        <v>145</v>
      </c>
    </row>
    <row r="342" spans="1:6">
      <c r="A342" t="s">
        <v>1512</v>
      </c>
      <c r="B342" t="s">
        <v>142</v>
      </c>
      <c r="C342" t="s">
        <v>411</v>
      </c>
      <c r="D342" t="s">
        <v>144</v>
      </c>
      <c r="F342" t="s">
        <v>145</v>
      </c>
    </row>
    <row r="343" spans="1:6">
      <c r="A343" t="s">
        <v>1512</v>
      </c>
      <c r="B343" t="s">
        <v>142</v>
      </c>
      <c r="C343" t="s">
        <v>412</v>
      </c>
      <c r="D343" t="s">
        <v>144</v>
      </c>
      <c r="F343" t="s">
        <v>145</v>
      </c>
    </row>
    <row r="344" spans="1:6">
      <c r="A344" t="s">
        <v>1512</v>
      </c>
      <c r="B344" t="s">
        <v>142</v>
      </c>
      <c r="C344" t="s">
        <v>413</v>
      </c>
      <c r="D344" t="s">
        <v>144</v>
      </c>
      <c r="F344" t="s">
        <v>145</v>
      </c>
    </row>
    <row r="345" spans="1:6">
      <c r="A345" t="s">
        <v>1512</v>
      </c>
      <c r="B345" t="s">
        <v>142</v>
      </c>
      <c r="C345" t="s">
        <v>414</v>
      </c>
      <c r="D345" t="s">
        <v>144</v>
      </c>
      <c r="F345" t="s">
        <v>145</v>
      </c>
    </row>
    <row r="346" spans="1:6">
      <c r="A346" t="s">
        <v>1512</v>
      </c>
      <c r="B346" t="s">
        <v>142</v>
      </c>
      <c r="C346" t="s">
        <v>415</v>
      </c>
      <c r="D346" t="s">
        <v>144</v>
      </c>
      <c r="F346" t="s">
        <v>145</v>
      </c>
    </row>
    <row r="347" spans="1:6">
      <c r="A347" t="s">
        <v>1512</v>
      </c>
      <c r="B347" t="s">
        <v>142</v>
      </c>
      <c r="C347" t="s">
        <v>416</v>
      </c>
      <c r="D347" t="s">
        <v>144</v>
      </c>
      <c r="F347" t="s">
        <v>145</v>
      </c>
    </row>
    <row r="348" spans="1:6">
      <c r="A348" t="s">
        <v>1512</v>
      </c>
      <c r="B348" t="s">
        <v>142</v>
      </c>
      <c r="C348" t="s">
        <v>417</v>
      </c>
      <c r="D348" t="s">
        <v>144</v>
      </c>
      <c r="F348" t="s">
        <v>145</v>
      </c>
    </row>
    <row r="349" spans="1:6">
      <c r="A349" t="s">
        <v>1512</v>
      </c>
      <c r="B349" t="s">
        <v>142</v>
      </c>
      <c r="C349" t="s">
        <v>418</v>
      </c>
      <c r="D349" t="s">
        <v>144</v>
      </c>
      <c r="F349" t="s">
        <v>145</v>
      </c>
    </row>
    <row r="350" spans="1:6">
      <c r="A350" t="s">
        <v>1512</v>
      </c>
      <c r="B350" t="s">
        <v>142</v>
      </c>
      <c r="C350" t="s">
        <v>419</v>
      </c>
      <c r="D350" t="s">
        <v>144</v>
      </c>
      <c r="F350" t="s">
        <v>145</v>
      </c>
    </row>
    <row r="351" spans="1:6">
      <c r="A351" t="s">
        <v>1512</v>
      </c>
      <c r="B351" t="s">
        <v>142</v>
      </c>
      <c r="C351" t="s">
        <v>420</v>
      </c>
      <c r="D351" t="s">
        <v>144</v>
      </c>
      <c r="F351" t="s">
        <v>145</v>
      </c>
    </row>
    <row r="352" spans="1:6">
      <c r="A352" t="s">
        <v>1512</v>
      </c>
      <c r="B352" t="s">
        <v>142</v>
      </c>
      <c r="C352" t="s">
        <v>421</v>
      </c>
      <c r="D352" t="s">
        <v>144</v>
      </c>
      <c r="F352" t="s">
        <v>145</v>
      </c>
    </row>
    <row r="353" spans="1:6">
      <c r="A353" t="s">
        <v>1512</v>
      </c>
      <c r="B353" t="s">
        <v>149</v>
      </c>
      <c r="C353" t="s">
        <v>395</v>
      </c>
      <c r="D353" t="s">
        <v>164</v>
      </c>
      <c r="F353" t="s">
        <v>145</v>
      </c>
    </row>
    <row r="354" spans="1:6">
      <c r="A354" t="s">
        <v>1512</v>
      </c>
      <c r="B354" t="s">
        <v>149</v>
      </c>
      <c r="C354" t="s">
        <v>422</v>
      </c>
      <c r="D354" t="s">
        <v>144</v>
      </c>
      <c r="F354" t="s">
        <v>145</v>
      </c>
    </row>
    <row r="355" spans="1:6">
      <c r="A355" t="s">
        <v>1512</v>
      </c>
      <c r="B355" t="s">
        <v>149</v>
      </c>
      <c r="C355" t="s">
        <v>423</v>
      </c>
      <c r="D355" t="s">
        <v>144</v>
      </c>
      <c r="F355" t="s">
        <v>145</v>
      </c>
    </row>
    <row r="356" spans="1:6">
      <c r="A356" t="s">
        <v>1512</v>
      </c>
      <c r="B356" t="s">
        <v>149</v>
      </c>
      <c r="C356" t="s">
        <v>424</v>
      </c>
      <c r="D356" t="s">
        <v>144</v>
      </c>
      <c r="F356" t="s">
        <v>145</v>
      </c>
    </row>
    <row r="357" spans="1:6">
      <c r="A357" t="s">
        <v>1512</v>
      </c>
      <c r="B357" t="s">
        <v>149</v>
      </c>
      <c r="C357" t="s">
        <v>425</v>
      </c>
      <c r="D357" t="s">
        <v>144</v>
      </c>
      <c r="F357" t="s">
        <v>145</v>
      </c>
    </row>
    <row r="358" spans="1:6">
      <c r="A358" t="s">
        <v>1512</v>
      </c>
      <c r="B358" t="s">
        <v>153</v>
      </c>
      <c r="C358" t="s">
        <v>366</v>
      </c>
      <c r="D358" t="s">
        <v>164</v>
      </c>
      <c r="F358" t="s">
        <v>145</v>
      </c>
    </row>
    <row r="359" spans="1:6">
      <c r="A359" t="s">
        <v>1512</v>
      </c>
      <c r="B359" t="s">
        <v>153</v>
      </c>
      <c r="C359" t="s">
        <v>426</v>
      </c>
      <c r="D359" t="s">
        <v>144</v>
      </c>
      <c r="F359" t="s">
        <v>145</v>
      </c>
    </row>
    <row r="360" spans="1:6">
      <c r="A360" t="s">
        <v>1512</v>
      </c>
      <c r="B360" t="s">
        <v>153</v>
      </c>
      <c r="C360" t="s">
        <v>427</v>
      </c>
      <c r="D360" t="s">
        <v>144</v>
      </c>
      <c r="F360" t="s">
        <v>145</v>
      </c>
    </row>
    <row r="361" spans="1:6">
      <c r="A361" t="s">
        <v>1512</v>
      </c>
      <c r="B361" t="s">
        <v>153</v>
      </c>
      <c r="C361" t="s">
        <v>428</v>
      </c>
      <c r="D361" t="s">
        <v>144</v>
      </c>
      <c r="F361" t="s">
        <v>145</v>
      </c>
    </row>
    <row r="362" spans="1:6">
      <c r="A362" t="s">
        <v>1512</v>
      </c>
      <c r="B362" t="s">
        <v>311</v>
      </c>
      <c r="C362" t="s">
        <v>380</v>
      </c>
      <c r="D362" t="s">
        <v>164</v>
      </c>
      <c r="F362" t="s">
        <v>145</v>
      </c>
    </row>
    <row r="363" spans="1:6">
      <c r="A363" t="s">
        <v>1512</v>
      </c>
      <c r="B363" t="s">
        <v>311</v>
      </c>
      <c r="C363" t="s">
        <v>429</v>
      </c>
      <c r="D363" t="s">
        <v>144</v>
      </c>
      <c r="F363" t="s">
        <v>145</v>
      </c>
    </row>
    <row r="364" spans="1:6">
      <c r="A364" t="s">
        <v>1512</v>
      </c>
      <c r="B364" t="s">
        <v>311</v>
      </c>
      <c r="C364" t="s">
        <v>430</v>
      </c>
      <c r="D364" t="s">
        <v>144</v>
      </c>
      <c r="F364" t="s">
        <v>145</v>
      </c>
    </row>
    <row r="365" spans="1:6">
      <c r="A365" t="s">
        <v>1512</v>
      </c>
      <c r="B365" t="s">
        <v>311</v>
      </c>
      <c r="C365" t="s">
        <v>431</v>
      </c>
      <c r="D365" t="s">
        <v>144</v>
      </c>
      <c r="F365" t="s">
        <v>145</v>
      </c>
    </row>
    <row r="366" spans="1:6">
      <c r="A366" t="s">
        <v>1512</v>
      </c>
      <c r="B366" t="s">
        <v>311</v>
      </c>
      <c r="C366" t="s">
        <v>432</v>
      </c>
      <c r="D366" t="s">
        <v>144</v>
      </c>
      <c r="F366" t="s">
        <v>145</v>
      </c>
    </row>
    <row r="367" spans="1:6">
      <c r="A367" t="s">
        <v>1512</v>
      </c>
      <c r="B367" t="s">
        <v>337</v>
      </c>
      <c r="C367" t="s">
        <v>402</v>
      </c>
      <c r="D367" t="s">
        <v>164</v>
      </c>
      <c r="F367" t="s">
        <v>337</v>
      </c>
    </row>
    <row r="368" spans="1:6">
      <c r="A368" t="s">
        <v>1512</v>
      </c>
      <c r="B368" t="s">
        <v>337</v>
      </c>
      <c r="C368" t="s">
        <v>433</v>
      </c>
      <c r="D368" t="s">
        <v>144</v>
      </c>
      <c r="F368" t="s">
        <v>337</v>
      </c>
    </row>
    <row r="369" spans="1:6">
      <c r="A369" t="s">
        <v>1512</v>
      </c>
      <c r="B369" t="s">
        <v>337</v>
      </c>
      <c r="C369" t="s">
        <v>434</v>
      </c>
      <c r="D369" t="s">
        <v>144</v>
      </c>
      <c r="F369" t="s">
        <v>337</v>
      </c>
    </row>
    <row r="370" spans="1:6">
      <c r="A370" t="s">
        <v>1512</v>
      </c>
      <c r="B370" t="s">
        <v>337</v>
      </c>
      <c r="C370" t="s">
        <v>435</v>
      </c>
      <c r="D370" t="s">
        <v>144</v>
      </c>
      <c r="F370" t="s">
        <v>337</v>
      </c>
    </row>
    <row r="371" spans="1:6">
      <c r="A371" t="s">
        <v>1512</v>
      </c>
      <c r="B371" t="s">
        <v>337</v>
      </c>
      <c r="C371" t="s">
        <v>436</v>
      </c>
      <c r="D371" t="s">
        <v>144</v>
      </c>
      <c r="F371" t="s">
        <v>337</v>
      </c>
    </row>
    <row r="372" spans="1:6">
      <c r="A372" t="s">
        <v>1512</v>
      </c>
      <c r="B372" t="s">
        <v>337</v>
      </c>
      <c r="C372" t="s">
        <v>437</v>
      </c>
      <c r="D372" t="s">
        <v>144</v>
      </c>
      <c r="F372" t="s">
        <v>337</v>
      </c>
    </row>
    <row r="373" spans="1:6">
      <c r="A373" t="s">
        <v>1512</v>
      </c>
      <c r="B373" t="s">
        <v>337</v>
      </c>
      <c r="C373" t="s">
        <v>438</v>
      </c>
      <c r="D373" t="s">
        <v>144</v>
      </c>
      <c r="F373" t="s">
        <v>337</v>
      </c>
    </row>
    <row r="374" spans="1:6">
      <c r="A374" t="s">
        <v>1512</v>
      </c>
      <c r="B374" t="s">
        <v>384</v>
      </c>
      <c r="C374" t="s">
        <v>407</v>
      </c>
      <c r="D374" t="s">
        <v>164</v>
      </c>
      <c r="F374" t="s">
        <v>145</v>
      </c>
    </row>
    <row r="375" spans="1:6">
      <c r="A375" t="s">
        <v>1512</v>
      </c>
      <c r="B375" t="s">
        <v>384</v>
      </c>
      <c r="C375" t="s">
        <v>439</v>
      </c>
      <c r="D375" t="s">
        <v>144</v>
      </c>
      <c r="F375" t="s">
        <v>145</v>
      </c>
    </row>
    <row r="376" spans="1:6">
      <c r="A376" t="s">
        <v>1512</v>
      </c>
      <c r="B376" t="s">
        <v>384</v>
      </c>
      <c r="C376" t="s">
        <v>440</v>
      </c>
      <c r="D376" t="s">
        <v>144</v>
      </c>
      <c r="F376" t="s">
        <v>145</v>
      </c>
    </row>
    <row r="377" spans="1:6">
      <c r="A377" t="s">
        <v>1512</v>
      </c>
      <c r="B377" t="s">
        <v>384</v>
      </c>
      <c r="C377" t="s">
        <v>441</v>
      </c>
      <c r="D377" t="s">
        <v>144</v>
      </c>
      <c r="F377" t="s">
        <v>145</v>
      </c>
    </row>
    <row r="378" spans="1:6">
      <c r="A378" t="s">
        <v>1512</v>
      </c>
      <c r="B378" t="s">
        <v>158</v>
      </c>
      <c r="C378" t="s">
        <v>257</v>
      </c>
      <c r="D378" t="s">
        <v>160</v>
      </c>
      <c r="F378" t="s">
        <v>145</v>
      </c>
    </row>
    <row r="379" spans="1:6">
      <c r="A379" t="s">
        <v>1512</v>
      </c>
      <c r="B379" t="s">
        <v>158</v>
      </c>
      <c r="C379" t="s">
        <v>408</v>
      </c>
      <c r="D379" t="s">
        <v>409</v>
      </c>
      <c r="F379" t="s">
        <v>145</v>
      </c>
    </row>
    <row r="380" spans="1:6">
      <c r="A380" t="s">
        <v>1512</v>
      </c>
      <c r="B380" t="s">
        <v>158</v>
      </c>
      <c r="C380" t="s">
        <v>282</v>
      </c>
      <c r="D380" t="s">
        <v>162</v>
      </c>
      <c r="F380" t="s">
        <v>145</v>
      </c>
    </row>
    <row r="381" spans="1:6">
      <c r="A381" t="s">
        <v>1512</v>
      </c>
      <c r="B381" t="s">
        <v>158</v>
      </c>
      <c r="C381" t="s">
        <v>237</v>
      </c>
      <c r="D381" t="s">
        <v>162</v>
      </c>
      <c r="F381" t="s">
        <v>145</v>
      </c>
    </row>
    <row r="382" spans="1:6">
      <c r="A382" t="s">
        <v>1512</v>
      </c>
      <c r="B382" t="s">
        <v>158</v>
      </c>
      <c r="C382" t="s">
        <v>350</v>
      </c>
      <c r="D382" t="s">
        <v>217</v>
      </c>
      <c r="F382" t="s">
        <v>145</v>
      </c>
    </row>
    <row r="383" spans="1:6">
      <c r="A383" t="s">
        <v>1512</v>
      </c>
      <c r="B383" t="s">
        <v>158</v>
      </c>
      <c r="C383" t="s">
        <v>366</v>
      </c>
      <c r="D383" t="s">
        <v>217</v>
      </c>
      <c r="F383" t="s">
        <v>145</v>
      </c>
    </row>
    <row r="384" spans="1:6">
      <c r="A384" t="s">
        <v>1513</v>
      </c>
      <c r="B384" t="s">
        <v>142</v>
      </c>
      <c r="C384" t="s">
        <v>412</v>
      </c>
      <c r="D384" t="s">
        <v>164</v>
      </c>
      <c r="F384" t="s">
        <v>145</v>
      </c>
    </row>
    <row r="385" spans="1:6">
      <c r="A385" t="s">
        <v>1513</v>
      </c>
      <c r="B385" t="s">
        <v>142</v>
      </c>
      <c r="C385" t="s">
        <v>443</v>
      </c>
      <c r="D385" t="s">
        <v>144</v>
      </c>
      <c r="F385" t="s">
        <v>145</v>
      </c>
    </row>
    <row r="386" spans="1:6">
      <c r="A386" t="s">
        <v>1513</v>
      </c>
      <c r="B386" t="s">
        <v>142</v>
      </c>
      <c r="C386" t="s">
        <v>444</v>
      </c>
      <c r="D386" t="s">
        <v>144</v>
      </c>
      <c r="F386" t="s">
        <v>145</v>
      </c>
    </row>
    <row r="387" spans="1:6">
      <c r="A387" t="s">
        <v>1513</v>
      </c>
      <c r="B387" t="s">
        <v>142</v>
      </c>
      <c r="C387" t="s">
        <v>445</v>
      </c>
      <c r="D387" t="s">
        <v>144</v>
      </c>
      <c r="F387" t="s">
        <v>145</v>
      </c>
    </row>
    <row r="388" spans="1:6">
      <c r="A388" t="s">
        <v>1513</v>
      </c>
      <c r="B388" t="s">
        <v>142</v>
      </c>
      <c r="C388" t="s">
        <v>446</v>
      </c>
      <c r="D388" t="s">
        <v>144</v>
      </c>
      <c r="F388" t="s">
        <v>145</v>
      </c>
    </row>
    <row r="389" spans="1:6">
      <c r="A389" t="s">
        <v>1513</v>
      </c>
      <c r="B389" t="s">
        <v>149</v>
      </c>
      <c r="C389" t="s">
        <v>420</v>
      </c>
      <c r="D389" t="s">
        <v>164</v>
      </c>
      <c r="F389" t="s">
        <v>145</v>
      </c>
    </row>
    <row r="390" spans="1:6">
      <c r="A390" t="s">
        <v>1513</v>
      </c>
      <c r="B390" t="s">
        <v>149</v>
      </c>
      <c r="C390" t="s">
        <v>447</v>
      </c>
      <c r="D390" t="s">
        <v>144</v>
      </c>
      <c r="F390" t="s">
        <v>145</v>
      </c>
    </row>
    <row r="391" spans="1:6">
      <c r="A391" t="s">
        <v>1513</v>
      </c>
      <c r="B391" t="s">
        <v>149</v>
      </c>
      <c r="C391" t="s">
        <v>448</v>
      </c>
      <c r="D391" t="s">
        <v>144</v>
      </c>
      <c r="F391" t="s">
        <v>145</v>
      </c>
    </row>
    <row r="392" spans="1:6">
      <c r="A392" t="s">
        <v>1513</v>
      </c>
      <c r="B392" t="s">
        <v>149</v>
      </c>
      <c r="C392" t="s">
        <v>449</v>
      </c>
      <c r="D392" t="s">
        <v>144</v>
      </c>
      <c r="F392" t="s">
        <v>145</v>
      </c>
    </row>
    <row r="393" spans="1:6">
      <c r="A393" t="s">
        <v>1513</v>
      </c>
      <c r="B393" t="s">
        <v>149</v>
      </c>
      <c r="C393" t="s">
        <v>450</v>
      </c>
      <c r="D393" t="s">
        <v>144</v>
      </c>
      <c r="F393" t="s">
        <v>145</v>
      </c>
    </row>
    <row r="394" spans="1:6">
      <c r="A394" t="s">
        <v>1513</v>
      </c>
      <c r="B394" t="s">
        <v>149</v>
      </c>
      <c r="C394" t="s">
        <v>451</v>
      </c>
      <c r="D394" t="s">
        <v>144</v>
      </c>
      <c r="F394" t="s">
        <v>145</v>
      </c>
    </row>
    <row r="395" spans="1:6">
      <c r="A395" t="s">
        <v>1513</v>
      </c>
      <c r="B395" t="s">
        <v>149</v>
      </c>
      <c r="C395" t="s">
        <v>452</v>
      </c>
      <c r="D395" t="s">
        <v>144</v>
      </c>
      <c r="F395" t="s">
        <v>145</v>
      </c>
    </row>
    <row r="396" spans="1:6">
      <c r="A396" t="s">
        <v>1513</v>
      </c>
      <c r="B396" t="s">
        <v>149</v>
      </c>
      <c r="C396" t="s">
        <v>453</v>
      </c>
      <c r="D396" t="s">
        <v>144</v>
      </c>
      <c r="F396" t="s">
        <v>145</v>
      </c>
    </row>
    <row r="397" spans="1:6">
      <c r="A397" t="s">
        <v>1513</v>
      </c>
      <c r="B397" t="s">
        <v>153</v>
      </c>
      <c r="C397" t="s">
        <v>394</v>
      </c>
      <c r="D397" t="s">
        <v>164</v>
      </c>
      <c r="F397" t="s">
        <v>145</v>
      </c>
    </row>
    <row r="398" spans="1:6">
      <c r="A398" t="s">
        <v>1513</v>
      </c>
      <c r="B398" t="s">
        <v>153</v>
      </c>
      <c r="C398" t="s">
        <v>454</v>
      </c>
      <c r="D398" t="s">
        <v>144</v>
      </c>
      <c r="F398" t="s">
        <v>145</v>
      </c>
    </row>
    <row r="399" spans="1:6">
      <c r="A399" t="s">
        <v>1513</v>
      </c>
      <c r="B399" t="s">
        <v>153</v>
      </c>
      <c r="C399" t="s">
        <v>455</v>
      </c>
      <c r="D399" t="s">
        <v>144</v>
      </c>
      <c r="F399" t="s">
        <v>145</v>
      </c>
    </row>
    <row r="400" spans="1:6">
      <c r="A400" t="s">
        <v>1513</v>
      </c>
      <c r="B400" t="s">
        <v>153</v>
      </c>
      <c r="C400" t="s">
        <v>456</v>
      </c>
      <c r="D400" t="s">
        <v>144</v>
      </c>
      <c r="F400" t="s">
        <v>145</v>
      </c>
    </row>
    <row r="401" spans="1:6">
      <c r="A401" t="s">
        <v>1513</v>
      </c>
      <c r="B401" t="s">
        <v>311</v>
      </c>
      <c r="C401" t="s">
        <v>401</v>
      </c>
      <c r="D401" t="s">
        <v>164</v>
      </c>
      <c r="F401" t="s">
        <v>145</v>
      </c>
    </row>
    <row r="402" spans="1:6">
      <c r="A402" t="s">
        <v>1513</v>
      </c>
      <c r="B402" t="s">
        <v>311</v>
      </c>
      <c r="C402" t="s">
        <v>457</v>
      </c>
      <c r="D402" t="s">
        <v>144</v>
      </c>
      <c r="F402" t="s">
        <v>145</v>
      </c>
    </row>
    <row r="403" spans="1:6">
      <c r="A403" t="s">
        <v>1513</v>
      </c>
      <c r="B403" t="s">
        <v>311</v>
      </c>
      <c r="C403" t="s">
        <v>458</v>
      </c>
      <c r="D403" t="s">
        <v>144</v>
      </c>
      <c r="F403" t="s">
        <v>145</v>
      </c>
    </row>
    <row r="404" spans="1:6">
      <c r="A404" t="s">
        <v>1513</v>
      </c>
      <c r="B404" t="s">
        <v>311</v>
      </c>
      <c r="C404" t="s">
        <v>459</v>
      </c>
      <c r="D404" t="s">
        <v>144</v>
      </c>
      <c r="F404" t="s">
        <v>145</v>
      </c>
    </row>
    <row r="405" spans="1:6">
      <c r="A405" t="s">
        <v>1513</v>
      </c>
      <c r="B405" t="s">
        <v>311</v>
      </c>
      <c r="C405" t="s">
        <v>460</v>
      </c>
      <c r="D405" t="s">
        <v>144</v>
      </c>
      <c r="F405" t="s">
        <v>145</v>
      </c>
    </row>
    <row r="406" spans="1:6">
      <c r="A406" t="s">
        <v>1513</v>
      </c>
      <c r="B406" t="s">
        <v>461</v>
      </c>
      <c r="C406" t="s">
        <v>428</v>
      </c>
      <c r="D406" t="s">
        <v>164</v>
      </c>
      <c r="F406" t="s">
        <v>145</v>
      </c>
    </row>
    <row r="407" spans="1:6">
      <c r="A407" t="s">
        <v>1513</v>
      </c>
      <c r="B407" t="s">
        <v>461</v>
      </c>
      <c r="C407" t="s">
        <v>462</v>
      </c>
      <c r="D407" t="s">
        <v>144</v>
      </c>
      <c r="F407" t="s">
        <v>145</v>
      </c>
    </row>
    <row r="408" spans="1:6">
      <c r="A408" t="s">
        <v>1513</v>
      </c>
      <c r="B408" t="s">
        <v>461</v>
      </c>
      <c r="C408" t="s">
        <v>463</v>
      </c>
      <c r="D408" t="s">
        <v>144</v>
      </c>
      <c r="F408" t="s">
        <v>145</v>
      </c>
    </row>
    <row r="409" spans="1:6">
      <c r="A409" t="s">
        <v>1513</v>
      </c>
      <c r="B409" t="s">
        <v>461</v>
      </c>
      <c r="C409" t="s">
        <v>464</v>
      </c>
      <c r="D409" t="s">
        <v>144</v>
      </c>
      <c r="F409" t="s">
        <v>145</v>
      </c>
    </row>
    <row r="410" spans="1:6">
      <c r="A410" t="s">
        <v>1513</v>
      </c>
      <c r="B410" t="s">
        <v>461</v>
      </c>
      <c r="C410" t="s">
        <v>465</v>
      </c>
      <c r="D410" t="s">
        <v>144</v>
      </c>
      <c r="F410" t="s">
        <v>145</v>
      </c>
    </row>
    <row r="411" spans="1:6">
      <c r="A411" t="s">
        <v>1513</v>
      </c>
      <c r="B411" t="s">
        <v>337</v>
      </c>
      <c r="C411" t="s">
        <v>437</v>
      </c>
      <c r="D411" t="s">
        <v>164</v>
      </c>
      <c r="F411" t="s">
        <v>337</v>
      </c>
    </row>
    <row r="412" spans="1:6">
      <c r="A412" t="s">
        <v>1513</v>
      </c>
      <c r="B412" t="s">
        <v>337</v>
      </c>
      <c r="C412" t="s">
        <v>466</v>
      </c>
      <c r="D412" t="s">
        <v>144</v>
      </c>
      <c r="F412" t="s">
        <v>337</v>
      </c>
    </row>
    <row r="413" spans="1:6">
      <c r="A413" t="s">
        <v>1513</v>
      </c>
      <c r="B413" t="s">
        <v>337</v>
      </c>
      <c r="C413" t="s">
        <v>467</v>
      </c>
      <c r="D413" t="s">
        <v>144</v>
      </c>
      <c r="F413" t="s">
        <v>337</v>
      </c>
    </row>
    <row r="414" spans="1:6">
      <c r="A414" t="s">
        <v>1513</v>
      </c>
      <c r="B414" t="s">
        <v>337</v>
      </c>
      <c r="C414" t="s">
        <v>468</v>
      </c>
      <c r="D414" t="s">
        <v>144</v>
      </c>
      <c r="F414" t="s">
        <v>337</v>
      </c>
    </row>
    <row r="415" spans="1:6">
      <c r="A415" t="s">
        <v>1513</v>
      </c>
      <c r="B415" t="s">
        <v>337</v>
      </c>
      <c r="C415" t="s">
        <v>469</v>
      </c>
      <c r="D415" t="s">
        <v>144</v>
      </c>
      <c r="F415" t="s">
        <v>337</v>
      </c>
    </row>
    <row r="416" spans="1:6">
      <c r="A416" t="s">
        <v>1513</v>
      </c>
      <c r="B416" t="s">
        <v>337</v>
      </c>
      <c r="C416" t="s">
        <v>470</v>
      </c>
      <c r="D416" t="s">
        <v>144</v>
      </c>
      <c r="F416" t="s">
        <v>337</v>
      </c>
    </row>
    <row r="417" spans="1:6" ht="15.95">
      <c r="A417" t="s">
        <v>1513</v>
      </c>
      <c r="B417" t="s">
        <v>384</v>
      </c>
      <c r="C417" s="3" t="s">
        <v>441</v>
      </c>
      <c r="D417" t="s">
        <v>164</v>
      </c>
      <c r="F417" t="s">
        <v>145</v>
      </c>
    </row>
    <row r="418" spans="1:6" ht="15.95">
      <c r="A418" t="s">
        <v>1513</v>
      </c>
      <c r="B418" t="s">
        <v>384</v>
      </c>
      <c r="C418" s="3" t="s">
        <v>495</v>
      </c>
      <c r="D418" t="s">
        <v>144</v>
      </c>
      <c r="F418" t="s">
        <v>145</v>
      </c>
    </row>
    <row r="419" spans="1:6">
      <c r="A419" t="s">
        <v>1513</v>
      </c>
      <c r="B419" t="s">
        <v>384</v>
      </c>
      <c r="C419" t="s">
        <v>472</v>
      </c>
      <c r="D419" t="s">
        <v>144</v>
      </c>
      <c r="F419" t="s">
        <v>145</v>
      </c>
    </row>
    <row r="420" spans="1:6">
      <c r="A420" t="s">
        <v>1513</v>
      </c>
      <c r="B420" t="s">
        <v>158</v>
      </c>
      <c r="C420" t="s">
        <v>257</v>
      </c>
      <c r="D420" t="s">
        <v>160</v>
      </c>
      <c r="F420" t="s">
        <v>145</v>
      </c>
    </row>
    <row r="421" spans="1:6">
      <c r="A421" t="s">
        <v>1513</v>
      </c>
      <c r="B421" t="s">
        <v>158</v>
      </c>
      <c r="C421" t="s">
        <v>408</v>
      </c>
      <c r="D421" t="s">
        <v>409</v>
      </c>
      <c r="F421" t="s">
        <v>145</v>
      </c>
    </row>
    <row r="422" spans="1:6">
      <c r="A422" t="s">
        <v>1513</v>
      </c>
      <c r="B422" t="s">
        <v>158</v>
      </c>
      <c r="C422" t="s">
        <v>282</v>
      </c>
      <c r="D422" t="s">
        <v>1514</v>
      </c>
      <c r="F422" t="s">
        <v>145</v>
      </c>
    </row>
    <row r="423" spans="1:6">
      <c r="A423" t="s">
        <v>1513</v>
      </c>
      <c r="B423" t="s">
        <v>158</v>
      </c>
      <c r="C423" t="s">
        <v>237</v>
      </c>
      <c r="D423" t="s">
        <v>409</v>
      </c>
      <c r="F423" t="s">
        <v>145</v>
      </c>
    </row>
    <row r="424" spans="1:6">
      <c r="A424" t="s">
        <v>1513</v>
      </c>
      <c r="B424" t="s">
        <v>158</v>
      </c>
      <c r="C424" t="s">
        <v>350</v>
      </c>
      <c r="D424" t="s">
        <v>217</v>
      </c>
      <c r="F424" t="s">
        <v>145</v>
      </c>
    </row>
    <row r="425" spans="1:6">
      <c r="A425" t="s">
        <v>1513</v>
      </c>
      <c r="B425" t="s">
        <v>158</v>
      </c>
      <c r="C425" t="s">
        <v>375</v>
      </c>
      <c r="D425" t="s">
        <v>217</v>
      </c>
      <c r="F425" t="s">
        <v>145</v>
      </c>
    </row>
    <row r="426" spans="1:6">
      <c r="A426" t="s">
        <v>1515</v>
      </c>
      <c r="B426" t="s">
        <v>142</v>
      </c>
      <c r="C426" t="s">
        <v>446</v>
      </c>
      <c r="D426" t="s">
        <v>164</v>
      </c>
      <c r="F426" t="s">
        <v>145</v>
      </c>
    </row>
    <row r="427" spans="1:6">
      <c r="A427" t="s">
        <v>1515</v>
      </c>
      <c r="B427" t="s">
        <v>142</v>
      </c>
      <c r="C427" t="s">
        <v>447</v>
      </c>
      <c r="D427" t="s">
        <v>164</v>
      </c>
      <c r="F427" t="s">
        <v>145</v>
      </c>
    </row>
    <row r="428" spans="1:6">
      <c r="A428" t="s">
        <v>1515</v>
      </c>
      <c r="B428" t="s">
        <v>142</v>
      </c>
      <c r="C428" t="s">
        <v>475</v>
      </c>
      <c r="D428" t="s">
        <v>144</v>
      </c>
      <c r="F428" t="s">
        <v>145</v>
      </c>
    </row>
    <row r="429" spans="1:6">
      <c r="A429" t="s">
        <v>1515</v>
      </c>
      <c r="B429" t="s">
        <v>142</v>
      </c>
      <c r="C429" t="s">
        <v>476</v>
      </c>
      <c r="D429" t="s">
        <v>144</v>
      </c>
      <c r="F429" t="s">
        <v>145</v>
      </c>
    </row>
    <row r="430" spans="1:6">
      <c r="A430" t="s">
        <v>1515</v>
      </c>
      <c r="B430" t="s">
        <v>142</v>
      </c>
      <c r="C430" t="s">
        <v>477</v>
      </c>
      <c r="D430" t="s">
        <v>144</v>
      </c>
      <c r="F430" t="s">
        <v>145</v>
      </c>
    </row>
    <row r="431" spans="1:6">
      <c r="A431" t="s">
        <v>1515</v>
      </c>
      <c r="B431" t="s">
        <v>142</v>
      </c>
      <c r="C431" t="s">
        <v>478</v>
      </c>
      <c r="D431" t="s">
        <v>144</v>
      </c>
      <c r="F431" t="s">
        <v>145</v>
      </c>
    </row>
    <row r="432" spans="1:6">
      <c r="A432" t="s">
        <v>1515</v>
      </c>
      <c r="B432" t="s">
        <v>142</v>
      </c>
      <c r="C432" t="s">
        <v>479</v>
      </c>
      <c r="D432" t="s">
        <v>144</v>
      </c>
      <c r="F432" t="s">
        <v>145</v>
      </c>
    </row>
    <row r="433" spans="1:6">
      <c r="A433" t="s">
        <v>1515</v>
      </c>
      <c r="B433" t="s">
        <v>142</v>
      </c>
      <c r="C433" t="s">
        <v>480</v>
      </c>
      <c r="D433" t="s">
        <v>144</v>
      </c>
      <c r="F433" t="s">
        <v>145</v>
      </c>
    </row>
    <row r="434" spans="1:6">
      <c r="A434" t="s">
        <v>1515</v>
      </c>
      <c r="B434" t="s">
        <v>142</v>
      </c>
      <c r="C434" t="s">
        <v>481</v>
      </c>
      <c r="D434" t="s">
        <v>144</v>
      </c>
      <c r="F434" t="s">
        <v>145</v>
      </c>
    </row>
    <row r="435" spans="1:6">
      <c r="A435" t="s">
        <v>1515</v>
      </c>
      <c r="B435" t="s">
        <v>142</v>
      </c>
      <c r="C435" t="s">
        <v>482</v>
      </c>
      <c r="D435" t="s">
        <v>144</v>
      </c>
      <c r="F435" t="s">
        <v>145</v>
      </c>
    </row>
    <row r="436" spans="1:6">
      <c r="A436" t="s">
        <v>1515</v>
      </c>
      <c r="B436" t="s">
        <v>149</v>
      </c>
      <c r="C436" t="s">
        <v>454</v>
      </c>
      <c r="D436" t="s">
        <v>164</v>
      </c>
      <c r="F436" t="s">
        <v>145</v>
      </c>
    </row>
    <row r="437" spans="1:6">
      <c r="A437" t="s">
        <v>1515</v>
      </c>
      <c r="B437" t="s">
        <v>149</v>
      </c>
      <c r="C437" t="s">
        <v>483</v>
      </c>
      <c r="D437" t="s">
        <v>144</v>
      </c>
      <c r="F437" t="s">
        <v>145</v>
      </c>
    </row>
    <row r="438" spans="1:6">
      <c r="A438" t="s">
        <v>1515</v>
      </c>
      <c r="B438" t="s">
        <v>149</v>
      </c>
      <c r="C438" t="s">
        <v>484</v>
      </c>
      <c r="D438" t="s">
        <v>144</v>
      </c>
      <c r="F438" t="s">
        <v>145</v>
      </c>
    </row>
    <row r="439" spans="1:6">
      <c r="A439" t="s">
        <v>1515</v>
      </c>
      <c r="B439" t="s">
        <v>149</v>
      </c>
      <c r="C439" t="s">
        <v>485</v>
      </c>
      <c r="D439" t="s">
        <v>144</v>
      </c>
      <c r="F439" t="s">
        <v>145</v>
      </c>
    </row>
    <row r="440" spans="1:6">
      <c r="A440" t="s">
        <v>1515</v>
      </c>
      <c r="B440" t="s">
        <v>149</v>
      </c>
      <c r="C440" t="s">
        <v>486</v>
      </c>
      <c r="D440" t="s">
        <v>144</v>
      </c>
      <c r="F440" t="s">
        <v>145</v>
      </c>
    </row>
    <row r="441" spans="1:6">
      <c r="A441" t="s">
        <v>1515</v>
      </c>
      <c r="B441" t="s">
        <v>153</v>
      </c>
      <c r="C441" t="s">
        <v>400</v>
      </c>
      <c r="D441" t="s">
        <v>164</v>
      </c>
      <c r="F441" t="s">
        <v>145</v>
      </c>
    </row>
    <row r="442" spans="1:6">
      <c r="A442" t="s">
        <v>1515</v>
      </c>
      <c r="B442" t="s">
        <v>153</v>
      </c>
      <c r="C442" t="s">
        <v>487</v>
      </c>
      <c r="D442" t="s">
        <v>144</v>
      </c>
      <c r="F442" t="s">
        <v>145</v>
      </c>
    </row>
    <row r="443" spans="1:6">
      <c r="A443" t="s">
        <v>1515</v>
      </c>
      <c r="B443" t="s">
        <v>153</v>
      </c>
      <c r="C443" t="s">
        <v>488</v>
      </c>
      <c r="D443" t="s">
        <v>144</v>
      </c>
      <c r="F443" t="s">
        <v>145</v>
      </c>
    </row>
    <row r="444" spans="1:6">
      <c r="A444" t="s">
        <v>1515</v>
      </c>
      <c r="B444" t="s">
        <v>311</v>
      </c>
      <c r="C444" t="s">
        <v>459</v>
      </c>
      <c r="D444" t="s">
        <v>164</v>
      </c>
      <c r="F444" t="s">
        <v>145</v>
      </c>
    </row>
    <row r="445" spans="1:6">
      <c r="A445" t="s">
        <v>1515</v>
      </c>
      <c r="B445" t="s">
        <v>311</v>
      </c>
      <c r="C445" t="s">
        <v>489</v>
      </c>
      <c r="D445" t="s">
        <v>144</v>
      </c>
      <c r="F445" t="s">
        <v>145</v>
      </c>
    </row>
    <row r="446" spans="1:6">
      <c r="A446" t="s">
        <v>1515</v>
      </c>
      <c r="B446" t="s">
        <v>311</v>
      </c>
      <c r="C446" t="s">
        <v>490</v>
      </c>
      <c r="D446" t="s">
        <v>144</v>
      </c>
      <c r="F446" t="s">
        <v>145</v>
      </c>
    </row>
    <row r="447" spans="1:6">
      <c r="A447" t="s">
        <v>1515</v>
      </c>
      <c r="B447" t="s">
        <v>311</v>
      </c>
      <c r="C447" t="s">
        <v>491</v>
      </c>
      <c r="D447" t="s">
        <v>144</v>
      </c>
      <c r="F447" t="s">
        <v>145</v>
      </c>
    </row>
    <row r="448" spans="1:6">
      <c r="A448" t="s">
        <v>1515</v>
      </c>
      <c r="B448" t="s">
        <v>311</v>
      </c>
      <c r="C448" t="s">
        <v>492</v>
      </c>
      <c r="D448" t="s">
        <v>144</v>
      </c>
      <c r="F448" t="s">
        <v>145</v>
      </c>
    </row>
    <row r="449" spans="1:6">
      <c r="A449" t="s">
        <v>1515</v>
      </c>
      <c r="B449" t="s">
        <v>337</v>
      </c>
      <c r="C449" t="s">
        <v>433</v>
      </c>
      <c r="D449" t="s">
        <v>164</v>
      </c>
      <c r="F449" t="s">
        <v>337</v>
      </c>
    </row>
    <row r="450" spans="1:6">
      <c r="A450" t="s">
        <v>1515</v>
      </c>
      <c r="B450" t="s">
        <v>337</v>
      </c>
      <c r="C450" t="s">
        <v>69</v>
      </c>
      <c r="D450" t="s">
        <v>144</v>
      </c>
      <c r="F450" t="s">
        <v>337</v>
      </c>
    </row>
    <row r="451" spans="1:6">
      <c r="A451" t="s">
        <v>1515</v>
      </c>
      <c r="B451" t="s">
        <v>337</v>
      </c>
      <c r="C451" t="s">
        <v>493</v>
      </c>
      <c r="D451" t="s">
        <v>144</v>
      </c>
      <c r="F451" t="s">
        <v>337</v>
      </c>
    </row>
    <row r="452" spans="1:6">
      <c r="A452" t="s">
        <v>1515</v>
      </c>
      <c r="B452" t="s">
        <v>337</v>
      </c>
      <c r="C452" t="s">
        <v>494</v>
      </c>
      <c r="D452" t="s">
        <v>144</v>
      </c>
      <c r="F452" t="s">
        <v>337</v>
      </c>
    </row>
    <row r="453" spans="1:6">
      <c r="A453" t="s">
        <v>1515</v>
      </c>
      <c r="B453" t="s">
        <v>384</v>
      </c>
      <c r="C453" t="s">
        <v>495</v>
      </c>
      <c r="D453" t="s">
        <v>164</v>
      </c>
      <c r="F453" t="s">
        <v>145</v>
      </c>
    </row>
    <row r="454" spans="1:6">
      <c r="A454" t="s">
        <v>1515</v>
      </c>
      <c r="B454" t="s">
        <v>384</v>
      </c>
      <c r="C454" t="s">
        <v>496</v>
      </c>
      <c r="D454" t="s">
        <v>144</v>
      </c>
      <c r="F454" t="s">
        <v>145</v>
      </c>
    </row>
    <row r="455" spans="1:6">
      <c r="A455" t="s">
        <v>1515</v>
      </c>
      <c r="B455" t="s">
        <v>384</v>
      </c>
      <c r="C455" t="s">
        <v>497</v>
      </c>
      <c r="D455" t="s">
        <v>144</v>
      </c>
      <c r="F455" t="s">
        <v>145</v>
      </c>
    </row>
    <row r="456" spans="1:6">
      <c r="A456" t="s">
        <v>1515</v>
      </c>
      <c r="B456" t="s">
        <v>384</v>
      </c>
      <c r="C456" t="s">
        <v>498</v>
      </c>
      <c r="D456" t="s">
        <v>144</v>
      </c>
      <c r="F456" t="s">
        <v>145</v>
      </c>
    </row>
    <row r="457" spans="1:6">
      <c r="A457" t="s">
        <v>1515</v>
      </c>
      <c r="B457" t="s">
        <v>158</v>
      </c>
      <c r="C457" t="s">
        <v>257</v>
      </c>
      <c r="D457" t="s">
        <v>160</v>
      </c>
      <c r="F457" t="s">
        <v>145</v>
      </c>
    </row>
    <row r="458" spans="1:6">
      <c r="A458" t="s">
        <v>1515</v>
      </c>
      <c r="B458" t="s">
        <v>158</v>
      </c>
      <c r="C458" t="s">
        <v>408</v>
      </c>
      <c r="D458" t="s">
        <v>409</v>
      </c>
      <c r="F458" t="s">
        <v>145</v>
      </c>
    </row>
    <row r="459" spans="1:6">
      <c r="A459" t="s">
        <v>1515</v>
      </c>
      <c r="B459" t="s">
        <v>158</v>
      </c>
      <c r="C459" t="s">
        <v>282</v>
      </c>
      <c r="D459" t="s">
        <v>1514</v>
      </c>
      <c r="F459" t="s">
        <v>145</v>
      </c>
    </row>
    <row r="460" spans="1:6">
      <c r="A460" t="s">
        <v>1515</v>
      </c>
      <c r="B460" t="s">
        <v>158</v>
      </c>
      <c r="C460" t="s">
        <v>237</v>
      </c>
      <c r="D460" t="s">
        <v>409</v>
      </c>
      <c r="F460" t="s">
        <v>145</v>
      </c>
    </row>
    <row r="461" spans="1:6">
      <c r="A461" t="s">
        <v>1515</v>
      </c>
      <c r="B461" t="s">
        <v>158</v>
      </c>
      <c r="C461" t="s">
        <v>350</v>
      </c>
      <c r="D461" t="s">
        <v>217</v>
      </c>
      <c r="F461" t="s">
        <v>145</v>
      </c>
    </row>
    <row r="462" spans="1:6">
      <c r="A462" t="s">
        <v>1515</v>
      </c>
      <c r="B462" t="s">
        <v>158</v>
      </c>
      <c r="C462" t="s">
        <v>375</v>
      </c>
      <c r="D462" t="s">
        <v>217</v>
      </c>
      <c r="F462" t="s">
        <v>145</v>
      </c>
    </row>
    <row r="463" spans="1:6">
      <c r="A463" t="s">
        <v>1516</v>
      </c>
      <c r="B463" t="s">
        <v>142</v>
      </c>
      <c r="C463" t="s">
        <v>476</v>
      </c>
      <c r="D463" t="s">
        <v>164</v>
      </c>
      <c r="F463" t="s">
        <v>145</v>
      </c>
    </row>
    <row r="464" spans="1:6">
      <c r="A464" t="s">
        <v>1516</v>
      </c>
      <c r="B464" t="s">
        <v>142</v>
      </c>
      <c r="C464" t="s">
        <v>500</v>
      </c>
      <c r="D464" t="s">
        <v>144</v>
      </c>
      <c r="F464" t="s">
        <v>145</v>
      </c>
    </row>
    <row r="465" spans="1:6">
      <c r="A465" t="s">
        <v>1516</v>
      </c>
      <c r="B465" t="s">
        <v>142</v>
      </c>
      <c r="C465" t="s">
        <v>501</v>
      </c>
      <c r="D465" t="s">
        <v>144</v>
      </c>
      <c r="F465" t="s">
        <v>145</v>
      </c>
    </row>
    <row r="466" spans="1:6">
      <c r="A466" t="s">
        <v>1516</v>
      </c>
      <c r="B466" t="s">
        <v>142</v>
      </c>
      <c r="C466" t="s">
        <v>502</v>
      </c>
      <c r="D466" t="s">
        <v>144</v>
      </c>
      <c r="F466" t="s">
        <v>145</v>
      </c>
    </row>
    <row r="467" spans="1:6">
      <c r="A467" t="s">
        <v>1516</v>
      </c>
      <c r="B467" t="s">
        <v>149</v>
      </c>
      <c r="C467" t="s">
        <v>451</v>
      </c>
      <c r="D467" t="s">
        <v>164</v>
      </c>
      <c r="F467" t="s">
        <v>145</v>
      </c>
    </row>
    <row r="468" spans="1:6">
      <c r="A468" t="s">
        <v>1516</v>
      </c>
      <c r="B468" t="s">
        <v>149</v>
      </c>
      <c r="C468" t="s">
        <v>489</v>
      </c>
      <c r="D468" t="s">
        <v>164</v>
      </c>
      <c r="F468" t="s">
        <v>145</v>
      </c>
    </row>
    <row r="469" spans="1:6">
      <c r="A469" t="s">
        <v>1516</v>
      </c>
      <c r="B469" t="s">
        <v>149</v>
      </c>
      <c r="C469" t="s">
        <v>503</v>
      </c>
      <c r="D469" t="s">
        <v>144</v>
      </c>
      <c r="F469" t="s">
        <v>145</v>
      </c>
    </row>
    <row r="470" spans="1:6">
      <c r="A470" t="s">
        <v>1516</v>
      </c>
      <c r="B470" t="s">
        <v>149</v>
      </c>
      <c r="C470" t="s">
        <v>504</v>
      </c>
      <c r="D470" t="s">
        <v>144</v>
      </c>
      <c r="F470" t="s">
        <v>145</v>
      </c>
    </row>
    <row r="471" spans="1:6">
      <c r="A471" t="s">
        <v>1516</v>
      </c>
      <c r="B471" t="s">
        <v>149</v>
      </c>
      <c r="C471" t="s">
        <v>505</v>
      </c>
      <c r="D471" t="s">
        <v>144</v>
      </c>
      <c r="F471" t="s">
        <v>145</v>
      </c>
    </row>
    <row r="472" spans="1:6">
      <c r="A472" t="s">
        <v>1516</v>
      </c>
      <c r="B472" t="s">
        <v>149</v>
      </c>
      <c r="C472" t="s">
        <v>506</v>
      </c>
      <c r="D472" t="s">
        <v>144</v>
      </c>
      <c r="F472" t="s">
        <v>145</v>
      </c>
    </row>
    <row r="473" spans="1:6">
      <c r="A473" t="s">
        <v>1516</v>
      </c>
      <c r="B473" t="s">
        <v>149</v>
      </c>
      <c r="C473" t="s">
        <v>507</v>
      </c>
      <c r="D473" t="s">
        <v>144</v>
      </c>
      <c r="F473" t="s">
        <v>145</v>
      </c>
    </row>
    <row r="474" spans="1:6">
      <c r="A474" t="s">
        <v>1516</v>
      </c>
      <c r="B474" t="s">
        <v>149</v>
      </c>
      <c r="C474" t="s">
        <v>508</v>
      </c>
      <c r="D474" t="s">
        <v>144</v>
      </c>
      <c r="F474" t="s">
        <v>145</v>
      </c>
    </row>
    <row r="475" spans="1:6">
      <c r="A475" t="s">
        <v>1516</v>
      </c>
      <c r="B475" t="s">
        <v>149</v>
      </c>
      <c r="C475" t="s">
        <v>509</v>
      </c>
      <c r="D475" t="s">
        <v>144</v>
      </c>
      <c r="F475" t="s">
        <v>145</v>
      </c>
    </row>
    <row r="476" spans="1:6">
      <c r="A476" t="s">
        <v>1516</v>
      </c>
      <c r="B476" t="s">
        <v>149</v>
      </c>
      <c r="C476" t="s">
        <v>510</v>
      </c>
      <c r="D476" t="s">
        <v>144</v>
      </c>
      <c r="F476" t="s">
        <v>145</v>
      </c>
    </row>
    <row r="477" spans="1:6">
      <c r="A477" t="s">
        <v>1516</v>
      </c>
      <c r="B477" t="s">
        <v>153</v>
      </c>
      <c r="C477" t="s">
        <v>490</v>
      </c>
      <c r="D477" t="s">
        <v>164</v>
      </c>
      <c r="F477" t="s">
        <v>145</v>
      </c>
    </row>
    <row r="478" spans="1:6">
      <c r="A478" t="s">
        <v>1516</v>
      </c>
      <c r="B478" t="s">
        <v>153</v>
      </c>
      <c r="C478" t="s">
        <v>511</v>
      </c>
      <c r="D478" t="s">
        <v>144</v>
      </c>
      <c r="F478" t="s">
        <v>145</v>
      </c>
    </row>
    <row r="479" spans="1:6">
      <c r="A479" t="s">
        <v>1516</v>
      </c>
      <c r="B479" t="s">
        <v>153</v>
      </c>
      <c r="C479" t="s">
        <v>512</v>
      </c>
      <c r="D479" t="s">
        <v>144</v>
      </c>
      <c r="F479" t="s">
        <v>145</v>
      </c>
    </row>
    <row r="480" spans="1:6">
      <c r="A480" t="s">
        <v>1516</v>
      </c>
      <c r="B480" t="s">
        <v>153</v>
      </c>
      <c r="C480" t="s">
        <v>513</v>
      </c>
      <c r="D480" t="s">
        <v>144</v>
      </c>
      <c r="F480" t="s">
        <v>145</v>
      </c>
    </row>
    <row r="481" spans="1:6">
      <c r="A481" t="s">
        <v>1516</v>
      </c>
      <c r="B481" t="s">
        <v>153</v>
      </c>
      <c r="C481" t="s">
        <v>514</v>
      </c>
      <c r="D481" t="s">
        <v>144</v>
      </c>
      <c r="F481" t="s">
        <v>145</v>
      </c>
    </row>
    <row r="482" spans="1:6">
      <c r="A482" t="s">
        <v>1516</v>
      </c>
      <c r="B482" t="s">
        <v>311</v>
      </c>
      <c r="C482" t="s">
        <v>486</v>
      </c>
      <c r="D482" t="s">
        <v>164</v>
      </c>
      <c r="F482" t="s">
        <v>145</v>
      </c>
    </row>
    <row r="483" spans="1:6">
      <c r="A483" t="s">
        <v>1516</v>
      </c>
      <c r="B483" t="s">
        <v>311</v>
      </c>
      <c r="C483" t="s">
        <v>515</v>
      </c>
      <c r="D483" t="s">
        <v>144</v>
      </c>
      <c r="F483" t="s">
        <v>145</v>
      </c>
    </row>
    <row r="484" spans="1:6">
      <c r="A484" t="s">
        <v>1516</v>
      </c>
      <c r="B484" t="s">
        <v>311</v>
      </c>
      <c r="C484" t="s">
        <v>516</v>
      </c>
      <c r="D484" t="s">
        <v>144</v>
      </c>
      <c r="F484" t="s">
        <v>145</v>
      </c>
    </row>
    <row r="485" spans="1:6">
      <c r="A485" t="s">
        <v>1516</v>
      </c>
      <c r="B485" t="s">
        <v>311</v>
      </c>
      <c r="C485" t="s">
        <v>19</v>
      </c>
      <c r="D485" t="s">
        <v>144</v>
      </c>
      <c r="F485" t="s">
        <v>145</v>
      </c>
    </row>
    <row r="486" spans="1:6">
      <c r="A486" t="s">
        <v>1516</v>
      </c>
      <c r="B486" t="s">
        <v>311</v>
      </c>
      <c r="C486" t="s">
        <v>517</v>
      </c>
      <c r="D486" t="s">
        <v>144</v>
      </c>
      <c r="F486" t="s">
        <v>145</v>
      </c>
    </row>
    <row r="487" spans="1:6">
      <c r="A487" t="s">
        <v>1516</v>
      </c>
      <c r="B487" t="s">
        <v>337</v>
      </c>
      <c r="C487" t="s">
        <v>494</v>
      </c>
      <c r="D487" t="s">
        <v>164</v>
      </c>
      <c r="F487" t="s">
        <v>337</v>
      </c>
    </row>
    <row r="488" spans="1:6">
      <c r="A488" t="s">
        <v>1516</v>
      </c>
      <c r="B488" t="s">
        <v>337</v>
      </c>
      <c r="C488" t="s">
        <v>518</v>
      </c>
      <c r="D488" t="s">
        <v>144</v>
      </c>
      <c r="F488" t="s">
        <v>337</v>
      </c>
    </row>
    <row r="489" spans="1:6">
      <c r="A489" t="s">
        <v>1516</v>
      </c>
      <c r="B489" t="s">
        <v>337</v>
      </c>
      <c r="C489" t="s">
        <v>519</v>
      </c>
      <c r="D489" t="s">
        <v>144</v>
      </c>
      <c r="F489" t="s">
        <v>337</v>
      </c>
    </row>
    <row r="490" spans="1:6">
      <c r="A490" t="s">
        <v>1516</v>
      </c>
      <c r="B490" t="s">
        <v>337</v>
      </c>
      <c r="C490" t="s">
        <v>520</v>
      </c>
      <c r="D490" t="s">
        <v>144</v>
      </c>
      <c r="F490" t="s">
        <v>337</v>
      </c>
    </row>
    <row r="491" spans="1:6">
      <c r="A491" t="s">
        <v>1516</v>
      </c>
      <c r="B491" t="s">
        <v>384</v>
      </c>
      <c r="C491" t="s">
        <v>497</v>
      </c>
      <c r="D491" t="s">
        <v>164</v>
      </c>
      <c r="F491" t="s">
        <v>145</v>
      </c>
    </row>
    <row r="492" spans="1:6">
      <c r="A492" t="s">
        <v>1516</v>
      </c>
      <c r="B492" t="s">
        <v>384</v>
      </c>
      <c r="C492" t="s">
        <v>521</v>
      </c>
      <c r="D492" t="s">
        <v>144</v>
      </c>
      <c r="F492" t="s">
        <v>145</v>
      </c>
    </row>
    <row r="493" spans="1:6">
      <c r="A493" t="s">
        <v>1516</v>
      </c>
      <c r="B493" t="s">
        <v>384</v>
      </c>
      <c r="C493" t="s">
        <v>522</v>
      </c>
      <c r="D493" t="s">
        <v>144</v>
      </c>
      <c r="F493" t="s">
        <v>145</v>
      </c>
    </row>
    <row r="494" spans="1:6">
      <c r="A494" t="s">
        <v>1516</v>
      </c>
      <c r="B494" t="s">
        <v>384</v>
      </c>
      <c r="C494" t="s">
        <v>523</v>
      </c>
      <c r="D494" t="s">
        <v>144</v>
      </c>
      <c r="F494" t="s">
        <v>145</v>
      </c>
    </row>
    <row r="495" spans="1:6">
      <c r="A495" t="s">
        <v>1516</v>
      </c>
      <c r="B495" t="s">
        <v>384</v>
      </c>
      <c r="C495" t="s">
        <v>524</v>
      </c>
      <c r="D495" t="s">
        <v>144</v>
      </c>
      <c r="F495" t="s">
        <v>145</v>
      </c>
    </row>
    <row r="496" spans="1:6">
      <c r="A496" t="s">
        <v>1516</v>
      </c>
      <c r="B496" t="s">
        <v>158</v>
      </c>
      <c r="C496" t="s">
        <v>257</v>
      </c>
      <c r="D496" t="s">
        <v>160</v>
      </c>
      <c r="F496" t="s">
        <v>145</v>
      </c>
    </row>
    <row r="497" spans="1:6">
      <c r="A497" t="s">
        <v>1516</v>
      </c>
      <c r="B497" t="s">
        <v>158</v>
      </c>
      <c r="C497" t="s">
        <v>408</v>
      </c>
      <c r="D497" t="s">
        <v>409</v>
      </c>
      <c r="F497" t="s">
        <v>145</v>
      </c>
    </row>
    <row r="498" spans="1:6">
      <c r="A498" t="s">
        <v>1516</v>
      </c>
      <c r="B498" t="s">
        <v>158</v>
      </c>
      <c r="C498" t="s">
        <v>282</v>
      </c>
      <c r="D498" t="s">
        <v>1514</v>
      </c>
      <c r="F498" t="s">
        <v>145</v>
      </c>
    </row>
    <row r="499" spans="1:6">
      <c r="A499" t="s">
        <v>1516</v>
      </c>
      <c r="B499" t="s">
        <v>158</v>
      </c>
      <c r="C499" t="s">
        <v>350</v>
      </c>
      <c r="D499" t="s">
        <v>162</v>
      </c>
      <c r="F499" t="s">
        <v>145</v>
      </c>
    </row>
    <row r="500" spans="1:6">
      <c r="A500" t="s">
        <v>1516</v>
      </c>
      <c r="B500" t="s">
        <v>158</v>
      </c>
      <c r="C500" t="s">
        <v>69</v>
      </c>
      <c r="D500" t="s">
        <v>217</v>
      </c>
      <c r="F500" t="s">
        <v>145</v>
      </c>
    </row>
    <row r="501" spans="1:6">
      <c r="A501" t="s">
        <v>1516</v>
      </c>
      <c r="B501" t="s">
        <v>158</v>
      </c>
      <c r="C501" t="s">
        <v>375</v>
      </c>
      <c r="D501" t="s">
        <v>217</v>
      </c>
      <c r="F501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229603-4adf-42ae-8657-232fd26596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79FA12A67B14BBF68B3C998036201" ma:contentTypeVersion="18" ma:contentTypeDescription="Create a new document." ma:contentTypeScope="" ma:versionID="b4167a666defe6c8fb175fb35a2b9e53">
  <xsd:schema xmlns:xsd="http://www.w3.org/2001/XMLSchema" xmlns:xs="http://www.w3.org/2001/XMLSchema" xmlns:p="http://schemas.microsoft.com/office/2006/metadata/properties" xmlns:ns3="65229603-4adf-42ae-8657-232fd2659624" xmlns:ns4="1f8bf67d-eb25-4115-ae44-a9d9b3ba958a" targetNamespace="http://schemas.microsoft.com/office/2006/metadata/properties" ma:root="true" ma:fieldsID="f41562d889445b5fd6554ffa714a8ba5" ns3:_="" ns4:_="">
    <xsd:import namespace="65229603-4adf-42ae-8657-232fd2659624"/>
    <xsd:import namespace="1f8bf67d-eb25-4115-ae44-a9d9b3ba95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29603-4adf-42ae-8657-232fd2659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bf67d-eb25-4115-ae44-a9d9b3ba958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83CB0E-C354-4803-8C58-D45858019B22}"/>
</file>

<file path=customXml/itemProps2.xml><?xml version="1.0" encoding="utf-8"?>
<ds:datastoreItem xmlns:ds="http://schemas.openxmlformats.org/officeDocument/2006/customXml" ds:itemID="{F01DB0EE-F617-4728-B252-B9101C79DBE7}"/>
</file>

<file path=customXml/itemProps3.xml><?xml version="1.0" encoding="utf-8"?>
<ds:datastoreItem xmlns:ds="http://schemas.openxmlformats.org/officeDocument/2006/customXml" ds:itemID="{CB558EAD-141C-42DF-B614-5937E68C8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Adebakin, Dieko</dc:creator>
  <cp:keywords/>
  <dc:description/>
  <cp:lastModifiedBy/>
  <cp:revision/>
  <dcterms:created xsi:type="dcterms:W3CDTF">2026-02-24T21:05:32Z</dcterms:created>
  <dcterms:modified xsi:type="dcterms:W3CDTF">2026-10-07T04:27:29Z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0x010100FB979FA12A67B14BBF68B3C998036201</vt:lpwstr>
  </property>
</Properties>
</file>